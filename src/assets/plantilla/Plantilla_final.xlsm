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filterPrivacy="1" showInkAnnotation="0" codeName="ThisWorkbook" hidePivotFieldList="1" defaultThemeVersion="124226"/>
  <xr:revisionPtr revIDLastSave="0" documentId="13_ncr:1_{561EBBDB-76C0-4ABB-B56D-19147BCE3F58}" xr6:coauthVersionLast="47" xr6:coauthVersionMax="47" xr10:uidLastSave="{00000000-0000-0000-0000-000000000000}"/>
  <bookViews>
    <workbookView xWindow="-120" yWindow="-120" windowWidth="29040" windowHeight="15840" tabRatio="580" firstSheet="1" activeTab="1" xr2:uid="{00000000-000D-0000-FFFF-FFFF00000000}"/>
  </bookViews>
  <sheets>
    <sheet name="Gráfico2" sheetId="75" state="hidden" r:id="rId1"/>
    <sheet name="Plantilla" sheetId="51" r:id="rId2"/>
    <sheet name="Gráfico1" sheetId="68" state="hidden" r:id="rId3"/>
    <sheet name="Hoja2" sheetId="70" state="hidden" r:id="rId4"/>
    <sheet name="Formulas 12 Octubre 2021" sheetId="55" state="hidden" r:id="rId5"/>
    <sheet name="Hoja1" sheetId="47" state="hidden" r:id="rId6"/>
  </sheets>
  <definedNames>
    <definedName name="_xlnm._FilterDatabase" localSheetId="4" hidden="1">'Formulas 12 Octubre 2021'!$C$6:$S$16</definedName>
    <definedName name="_xlnm.Print_Area" localSheetId="4">'Formulas 12 Octubre 2021'!$B$4:$T$25</definedName>
    <definedName name="_xlnm.Database">#REF!</definedName>
    <definedName name="CODIGO">#REF!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" i="55" l="1"/>
  <c r="W24" i="55"/>
  <c r="V23" i="55"/>
  <c r="W23" i="55" s="1"/>
  <c r="S19" i="55"/>
  <c r="W19" i="55" s="1"/>
  <c r="H19" i="55"/>
  <c r="U17" i="55"/>
  <c r="V22" i="55"/>
  <c r="D17" i="55"/>
  <c r="U16" i="55"/>
  <c r="I16" i="55"/>
  <c r="H16" i="55" s="1"/>
  <c r="D16" i="55"/>
  <c r="F16" i="55" s="1"/>
  <c r="S16" i="55" s="1"/>
  <c r="U15" i="55"/>
  <c r="H15" i="55"/>
  <c r="D15" i="55"/>
  <c r="F15" i="55" s="1"/>
  <c r="S15" i="55" s="1"/>
  <c r="U14" i="55"/>
  <c r="I14" i="55"/>
  <c r="H14" i="55" s="1"/>
  <c r="D14" i="55"/>
  <c r="F14" i="55" s="1"/>
  <c r="U13" i="55"/>
  <c r="H13" i="55"/>
  <c r="D13" i="55"/>
  <c r="D28" i="55" s="1"/>
  <c r="U12" i="55"/>
  <c r="R12" i="55"/>
  <c r="U11" i="55"/>
  <c r="S11" i="55"/>
  <c r="W11" i="55" s="1"/>
  <c r="H11" i="55"/>
  <c r="U10" i="55"/>
  <c r="D10" i="55"/>
  <c r="U9" i="55"/>
  <c r="D9" i="55"/>
  <c r="R2" i="55"/>
  <c r="D7" i="55"/>
  <c r="I1" i="55"/>
  <c r="I3" i="55" s="1"/>
  <c r="X11" i="55"/>
  <c r="V11" i="55"/>
  <c r="X19" i="55"/>
  <c r="K10" i="55" l="1"/>
  <c r="K9" i="55"/>
  <c r="K12" i="55"/>
  <c r="F13" i="55"/>
  <c r="Y19" i="55"/>
  <c r="Z19" i="55"/>
  <c r="V19" i="55"/>
  <c r="X15" i="55"/>
  <c r="Y15" i="55"/>
  <c r="W15" i="55"/>
  <c r="I2" i="55"/>
  <c r="K8" i="55"/>
  <c r="K17" i="55"/>
  <c r="K18" i="55"/>
  <c r="K7" i="55"/>
  <c r="S13" i="55"/>
  <c r="S14" i="55"/>
  <c r="H21" i="55" s="1"/>
  <c r="V16" i="55"/>
  <c r="Z16" i="55"/>
  <c r="Y16" i="55"/>
  <c r="X16" i="55"/>
  <c r="W16" i="55"/>
  <c r="D21" i="55"/>
  <c r="M29" i="55"/>
  <c r="Z15" i="55"/>
  <c r="Z11" i="55"/>
  <c r="Y11" i="55"/>
  <c r="K21" i="55"/>
  <c r="L21" i="55"/>
  <c r="W14" i="55"/>
  <c r="Z14" i="55"/>
  <c r="J21" i="55"/>
  <c r="V15" i="55"/>
  <c r="F21" i="55"/>
  <c r="X14" i="55"/>
  <c r="N21" i="55"/>
  <c r="G21" i="55"/>
  <c r="F28" i="55" l="1"/>
  <c r="E28" i="55"/>
  <c r="H28" i="55" s="1"/>
  <c r="I21" i="55"/>
  <c r="M21" i="55"/>
  <c r="Y14" i="55"/>
  <c r="V14" i="55"/>
  <c r="J17" i="55"/>
  <c r="J18" i="55"/>
  <c r="J12" i="55"/>
  <c r="J8" i="55"/>
  <c r="J10" i="55"/>
  <c r="J9" i="55"/>
  <c r="J7" i="55"/>
  <c r="E20" i="55"/>
  <c r="Z13" i="55"/>
  <c r="J20" i="55"/>
  <c r="Y13" i="55"/>
  <c r="V13" i="55"/>
  <c r="G20" i="55"/>
  <c r="L20" i="55"/>
  <c r="M28" i="55"/>
  <c r="D20" i="55"/>
  <c r="M20" i="55"/>
  <c r="X13" i="55"/>
  <c r="K20" i="55"/>
  <c r="W13" i="55"/>
  <c r="I20" i="55"/>
  <c r="N20" i="55"/>
  <c r="E21" i="55"/>
  <c r="M27" i="55"/>
  <c r="F20" i="55"/>
  <c r="H8" i="55" l="1"/>
  <c r="S8" i="55"/>
  <c r="S18" i="55"/>
  <c r="H18" i="55"/>
  <c r="H17" i="55"/>
  <c r="S17" i="55"/>
  <c r="S9" i="55"/>
  <c r="H9" i="55"/>
  <c r="S12" i="55"/>
  <c r="H12" i="55"/>
  <c r="H7" i="55"/>
  <c r="S7" i="55"/>
  <c r="H10" i="55"/>
  <c r="S10" i="55"/>
  <c r="V10" i="55" l="1"/>
  <c r="Y10" i="55"/>
  <c r="X10" i="55"/>
  <c r="Z10" i="55"/>
  <c r="W10" i="55"/>
  <c r="Y9" i="55"/>
  <c r="X9" i="55"/>
  <c r="V9" i="55"/>
  <c r="Z9" i="55"/>
  <c r="W9" i="55"/>
  <c r="W18" i="55"/>
  <c r="V18" i="55"/>
  <c r="Y18" i="55"/>
  <c r="Z18" i="55"/>
  <c r="X18" i="55"/>
  <c r="Z17" i="55"/>
  <c r="Y17" i="55"/>
  <c r="V17" i="55"/>
  <c r="X17" i="55"/>
  <c r="W17" i="55"/>
  <c r="X8" i="55"/>
  <c r="Y8" i="55"/>
  <c r="Z8" i="55"/>
  <c r="W8" i="55"/>
  <c r="V8" i="55"/>
  <c r="W7" i="55"/>
  <c r="Y7" i="55"/>
  <c r="R1" i="55"/>
  <c r="Z7" i="55"/>
  <c r="V7" i="55"/>
  <c r="X7" i="55"/>
  <c r="Z12" i="55"/>
  <c r="X12" i="55"/>
  <c r="W12" i="55"/>
  <c r="V12" i="55"/>
  <c r="Y12" i="5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AUTOCLAVE1" description="Conexión a la consulta 'AUTOCLAVE' en el libro." type="5" refreshedVersion="7" saveData="1">
    <dbPr connection="Provider=Microsoft.Mashup.OleDb.1;Data Source=$Workbook$;Location=AUTOCLAVE;Extended Properties=&quot;&quot;" command="SELECT * FROM [AUTOCLAVE]"/>
  </connection>
</connections>
</file>

<file path=xl/sharedStrings.xml><?xml version="1.0" encoding="utf-8"?>
<sst xmlns="http://schemas.openxmlformats.org/spreadsheetml/2006/main" count="1049" uniqueCount="303">
  <si>
    <t>Semana</t>
  </si>
  <si>
    <t>Lote</t>
  </si>
  <si>
    <t>Fecha</t>
  </si>
  <si>
    <t>Hora</t>
  </si>
  <si>
    <t>Cod_Producto</t>
  </si>
  <si>
    <t>Tipo_Producto</t>
  </si>
  <si>
    <t>Medida</t>
  </si>
  <si>
    <t>Maq</t>
  </si>
  <si>
    <t>Carro</t>
  </si>
  <si>
    <t>Muestra</t>
  </si>
  <si>
    <t>PP_Hidro_Cemento_Kg</t>
  </si>
  <si>
    <t>PP_Hidro_Carbonato_Kg</t>
  </si>
  <si>
    <t>PP_Hidro_Silice_Kg</t>
  </si>
  <si>
    <t>PP_Hidro_Celulosa_Kg</t>
  </si>
  <si>
    <t>PP_Hidro_Hidroxido_Kg</t>
  </si>
  <si>
    <t>PP_Refi_EE_AMP</t>
  </si>
  <si>
    <t>PP_Maq_Resi_ml</t>
  </si>
  <si>
    <t>PP_Maq_Vueltas_N</t>
  </si>
  <si>
    <t>PP_Maq_FormatoP_PSI</t>
  </si>
  <si>
    <t>PP_Maq_VacíoCP_PulgadasHg</t>
  </si>
  <si>
    <t>PP_Maq_VacioSF_PulgadasHg</t>
  </si>
  <si>
    <t>Observaciones</t>
  </si>
  <si>
    <t>PP_Maq_Fieltro_Dias</t>
  </si>
  <si>
    <t>PP_Refi_CelulosaH_%</t>
  </si>
  <si>
    <t>PP_Refi_CelulosaS_%</t>
  </si>
  <si>
    <t>PP_Hidro_CelulosaS_%</t>
  </si>
  <si>
    <t>PP_Maq_FlocCanalS_%</t>
  </si>
  <si>
    <t>PP_Maq_FlocTkS_%</t>
  </si>
  <si>
    <t>PP_Maq_FlocFormS_%</t>
  </si>
  <si>
    <t>PP_Maq_P1H_%</t>
  </si>
  <si>
    <t>PP_Maq_P3H_%</t>
  </si>
  <si>
    <t>PP_PF_Espesor_mm</t>
  </si>
  <si>
    <t>PP_MaqCil1_Sol_%</t>
  </si>
  <si>
    <t>PP_MaqCil2_Sol_%</t>
  </si>
  <si>
    <t>PP_MaqCil3_Sol_%</t>
  </si>
  <si>
    <t>PP_MaqCil4_Sol_%</t>
  </si>
  <si>
    <t>PP_Maq_CilinS_%</t>
  </si>
  <si>
    <t>PP_Maq_CanalS_%</t>
  </si>
  <si>
    <t>244</t>
  </si>
  <si>
    <t>Arauco</t>
  </si>
  <si>
    <t/>
  </si>
  <si>
    <t>8 mm</t>
  </si>
  <si>
    <t>Carlos Gil.</t>
  </si>
  <si>
    <t>Cristini/Italiano</t>
  </si>
  <si>
    <t>Maquina</t>
  </si>
  <si>
    <t xml:space="preserve"> Humedad Celulosa (%)</t>
  </si>
  <si>
    <t>% consistencia Refinador</t>
  </si>
  <si>
    <t>shopper Refinador</t>
  </si>
  <si>
    <t>% consistencia hidro</t>
  </si>
  <si>
    <t>shopper Hidro</t>
  </si>
  <si>
    <t>sapp</t>
  </si>
  <si>
    <t>canal</t>
  </si>
  <si>
    <t>MQ</t>
  </si>
  <si>
    <t>formato</t>
  </si>
  <si>
    <t>% humedad P1</t>
  </si>
  <si>
    <t>% humedad P3</t>
  </si>
  <si>
    <t>% humedad P4</t>
  </si>
  <si>
    <t>espesor</t>
  </si>
  <si>
    <t>densidad</t>
  </si>
  <si>
    <t>Densidad TCE</t>
  </si>
  <si>
    <t>TCE</t>
  </si>
  <si>
    <t>TK 1</t>
  </si>
  <si>
    <t>TK 2</t>
  </si>
  <si>
    <t>TK 3</t>
  </si>
  <si>
    <t>TK 4</t>
  </si>
  <si>
    <t>PROMEDIO</t>
  </si>
  <si>
    <t>CON 1</t>
  </si>
  <si>
    <t>CONO 2</t>
  </si>
  <si>
    <t>HIDRO</t>
  </si>
  <si>
    <t>TNC</t>
  </si>
  <si>
    <t>MOLINO</t>
  </si>
  <si>
    <t>Densidad Polvo</t>
  </si>
  <si>
    <t>HUMEDAD POLVO</t>
  </si>
  <si>
    <t>Densidad SAPP</t>
  </si>
  <si>
    <t>VISCOSIDAD SAPP</t>
  </si>
  <si>
    <t>Densidad CANAL</t>
  </si>
  <si>
    <t>VISCOSIDAD CANAL</t>
  </si>
  <si>
    <t>Densidad FORMATO</t>
  </si>
  <si>
    <t>VISCOSIDAD FORMATO</t>
  </si>
  <si>
    <t>Lote Flopam</t>
  </si>
  <si>
    <t>PH</t>
  </si>
  <si>
    <t>TIEMPO DE COCHADA</t>
  </si>
  <si>
    <t>Tiempo  Desmoldeo (dia/hora/minuto)</t>
  </si>
  <si>
    <t>% Cil.1</t>
  </si>
  <si>
    <t>% Cil.2</t>
  </si>
  <si>
    <t>% Cil.3</t>
  </si>
  <si>
    <t>% Cil.4</t>
  </si>
  <si>
    <t>% Molino</t>
  </si>
  <si>
    <t>CANAL2</t>
  </si>
  <si>
    <t>Fibra Natural Total</t>
  </si>
  <si>
    <t>Celulosa Virgen</t>
  </si>
  <si>
    <t>Carton</t>
  </si>
  <si>
    <r>
      <t xml:space="preserve">Fecha </t>
    </r>
    <r>
      <rPr>
        <sz val="11"/>
        <rFont val="Arial"/>
        <family val="2"/>
      </rPr>
      <t>Actualización:</t>
    </r>
  </si>
  <si>
    <t>MATERIAS PRIMAS x COCHADA</t>
  </si>
  <si>
    <t>CEMENTO</t>
  </si>
  <si>
    <t>AGREGADOS</t>
  </si>
  <si>
    <t xml:space="preserve">FIBRAS </t>
  </si>
  <si>
    <t>ADITIVOS</t>
  </si>
  <si>
    <t>FORMULA</t>
  </si>
  <si>
    <t>Cemento Kg</t>
  </si>
  <si>
    <t>Carbonato Kg</t>
  </si>
  <si>
    <t>Sílice Kg</t>
  </si>
  <si>
    <t>Retal Molido
Kg</t>
  </si>
  <si>
    <t>Mezcla Celulosa/Cartón
Húmeda [4,0%]</t>
  </si>
  <si>
    <t>Celulosa
Seca
ARAUCO</t>
  </si>
  <si>
    <t>Celulosa
Seca
EUROPCELL</t>
  </si>
  <si>
    <t>Cartón  
Seca</t>
  </si>
  <si>
    <t>PVA</t>
  </si>
  <si>
    <t>Hidróxido Kg</t>
  </si>
  <si>
    <t>Bentonita Kg</t>
  </si>
  <si>
    <t>Microsilica
Kg</t>
  </si>
  <si>
    <t>Metacaolin Kg</t>
  </si>
  <si>
    <t>Impermeabilizante
(Litros / Kg)</t>
  </si>
  <si>
    <t>TOTAL KG SECO</t>
  </si>
  <si>
    <t>AGUA KG</t>
  </si>
  <si>
    <t>%Cemento</t>
  </si>
  <si>
    <t>%Agregados</t>
  </si>
  <si>
    <t>%Fibra Natural</t>
  </si>
  <si>
    <t>%Fibras Sintetica</t>
  </si>
  <si>
    <t>% Aditivos</t>
  </si>
  <si>
    <t>Maquina 1</t>
  </si>
  <si>
    <t>P7 NT</t>
  </si>
  <si>
    <t>P7 NT #12</t>
  </si>
  <si>
    <t>P5 NT</t>
  </si>
  <si>
    <t>P10 NT</t>
  </si>
  <si>
    <t>P7 Extra NT</t>
  </si>
  <si>
    <t>Castellana NT</t>
  </si>
  <si>
    <t>Autoclave 8-20 mm</t>
  </si>
  <si>
    <t>Autoclave 5- 6 mm</t>
  </si>
  <si>
    <t>Autoclave 4 mm (1.22x1.22)</t>
  </si>
  <si>
    <t>Autoclave 4 mm (1.22x2.44)</t>
  </si>
  <si>
    <t>Maquina 2</t>
  </si>
  <si>
    <t>NOTAS:</t>
  </si>
  <si>
    <t>En las producciones de placa ondulada NT, que por efectos de cambio de producción y/o mantenimiento permanezcan más de 8 horas en el molde, se debe adicionar 2.38 Kg (2.7 Litros) de IMPERMEABILIZANTE</t>
  </si>
  <si>
    <t>Codigo Produccion</t>
  </si>
  <si>
    <t>Producción</t>
  </si>
  <si>
    <t xml:space="preserve">Celulosa Origen </t>
  </si>
  <si>
    <t>Celulosa Lote</t>
  </si>
  <si>
    <t xml:space="preserve">Carton Origen </t>
  </si>
  <si>
    <t>PVA Proveedor</t>
  </si>
  <si>
    <t>Silres Proveedor</t>
  </si>
  <si>
    <t>Silres Lote</t>
  </si>
  <si>
    <t>Sílice Proveedor</t>
  </si>
  <si>
    <t>Cemento</t>
  </si>
  <si>
    <t>Carbonato</t>
  </si>
  <si>
    <t>Silice</t>
  </si>
  <si>
    <t>Retal Molido</t>
  </si>
  <si>
    <t>Celulosa Seca</t>
  </si>
  <si>
    <t>Carton Seco</t>
  </si>
  <si>
    <t>Pva</t>
  </si>
  <si>
    <t>Hidroxido</t>
  </si>
  <si>
    <t>Bentonita</t>
  </si>
  <si>
    <t>Agua</t>
  </si>
  <si>
    <t>Total KG / Cochada</t>
  </si>
  <si>
    <t>%S teorico Hidro</t>
  </si>
  <si>
    <t>%S Hidro</t>
  </si>
  <si>
    <t xml:space="preserve">Refinador </t>
  </si>
  <si>
    <t>Energia Especifica Refinacion</t>
  </si>
  <si>
    <t>Ciclos refinacion</t>
  </si>
  <si>
    <t>Flujo floculante Tk 1 (L/min)</t>
  </si>
  <si>
    <t>Flujo floculnte Tk 2 (L/min)</t>
  </si>
  <si>
    <t>Flujo floculante Tk 3 (L/min)</t>
  </si>
  <si>
    <t>Flujo floculante Tk 4 (L/min)</t>
  </si>
  <si>
    <t>PROMEDIO Flujo Floculante Tanques (L/Min)</t>
  </si>
  <si>
    <t>Residuales TK 1</t>
  </si>
  <si>
    <t>Residuales TK 2</t>
  </si>
  <si>
    <t>Residuales TK 3</t>
  </si>
  <si>
    <t>Residuales TK 4</t>
  </si>
  <si>
    <t>PROMEDIO Residuales tanques (ml)</t>
  </si>
  <si>
    <t>Vueltas</t>
  </si>
  <si>
    <t>Velocidad (m/min)</t>
  </si>
  <si>
    <t>Presion formato (Bar)</t>
  </si>
  <si>
    <t>Flujo floculante  Formato (L/placa)</t>
  </si>
  <si>
    <t>Vacío Camara  Walker (Pulgadas Hg)</t>
  </si>
  <si>
    <t>Vacío Camara Principal (Pulgadas Hg)</t>
  </si>
  <si>
    <t>Vacio Secado fieltro  (Pulgadas Hg)</t>
  </si>
  <si>
    <t>Recirculación (%)</t>
  </si>
  <si>
    <t>Delta Banda # 1  (m/min)</t>
  </si>
  <si>
    <t>Delta Banda 2 (m/min)</t>
  </si>
  <si>
    <t>Velocidad Banda 1 (m/min)</t>
  </si>
  <si>
    <t>Velocidad Banda 2 (m/min)</t>
  </si>
  <si>
    <t>Velocidad De  Posicionamiento (m/min)</t>
  </si>
  <si>
    <t>Carro #</t>
  </si>
  <si>
    <t>Jefe De Turno</t>
  </si>
  <si>
    <t>DIAS FIELTRO</t>
  </si>
  <si>
    <t>PROVEEDOR FIELTRO</t>
  </si>
  <si>
    <t>DILIGENCIÓ</t>
  </si>
  <si>
    <t>Largo Placa fresca</t>
  </si>
  <si>
    <t>Ancho Placa Fresca</t>
  </si>
  <si>
    <t>Cuadratura Placa Fresca</t>
  </si>
  <si>
    <t>Diagonal placa fresca</t>
  </si>
  <si>
    <t>Verificacion Silres (g)</t>
  </si>
  <si>
    <t>% consistencia Hidro</t>
  </si>
  <si>
    <t>°shopper Hidro</t>
  </si>
  <si>
    <t>%S Floc SAPP</t>
  </si>
  <si>
    <t>%S Floc canal</t>
  </si>
  <si>
    <t>%S Floc Maq</t>
  </si>
  <si>
    <t>%S Floc Formato</t>
  </si>
  <si>
    <t>%H Punto 4</t>
  </si>
  <si>
    <t>Espesor PF</t>
  </si>
  <si>
    <t>Densidad PF</t>
  </si>
  <si>
    <t>%S TCE</t>
  </si>
  <si>
    <t>%S Prom Cil</t>
  </si>
  <si>
    <t>%S canal</t>
  </si>
  <si>
    <t>%S Cono1</t>
  </si>
  <si>
    <t>% Cono2</t>
  </si>
  <si>
    <t>%S hidro2</t>
  </si>
  <si>
    <t>%S Noria</t>
  </si>
  <si>
    <t>Dens floc SAPP Polvo</t>
  </si>
  <si>
    <t>Humedad Floc SAPP</t>
  </si>
  <si>
    <t>Dens floc  SAPP Liq</t>
  </si>
  <si>
    <t>Viscosid Floc SAPP</t>
  </si>
  <si>
    <t>Densidad floc canal</t>
  </si>
  <si>
    <t>Viscosidad floc canal</t>
  </si>
  <si>
    <t>Densidad floc Formato</t>
  </si>
  <si>
    <t>Viscosid Floc Formato</t>
  </si>
  <si>
    <t>Lote flocualante sapp</t>
  </si>
  <si>
    <t>Ph agua preparacion floculante sapp</t>
  </si>
  <si>
    <t>Tiempo De Cochada (min)</t>
  </si>
  <si>
    <t>P7</t>
  </si>
  <si>
    <t>6/10</t>
  </si>
  <si>
    <t>Inner Mongolia</t>
  </si>
  <si>
    <t>Brenntag</t>
  </si>
  <si>
    <t>KH15650</t>
  </si>
  <si>
    <t>6+1</t>
  </si>
  <si>
    <t>placa con buena apariencia y adherencia.(21:45)</t>
  </si>
  <si>
    <t>Daniel T.</t>
  </si>
  <si>
    <t>placa con buena apariencia , se marcan carros 36 ,37 y 38 para OBS por mezcla recirculada 1h 30 m .(19:40)</t>
  </si>
  <si>
    <t>UFR18762</t>
  </si>
  <si>
    <t xml:space="preserve">Herman C. </t>
  </si>
  <si>
    <t>16:20 Se observa tallon por aspiradora sucia en el lado molino y se hace limpiar.</t>
  </si>
  <si>
    <t>Alejandro D./ Luisa C.</t>
  </si>
  <si>
    <t xml:space="preserve">04:55 - 06:50 Cambio chumacera de rodillo tensor banda #1. / 07:00 - 07:10 Se dispara bomba de vacio./ 11:03 - 12:15 Lavando fieltro con acido. </t>
  </si>
  <si>
    <t xml:space="preserve">10:30 Se observa en la placa piel de elefante y se informa al cortador, le bajan al floculante; se deja nota en la desmoldeadora para que miren el carro 8 por mancha y piel de elefante. </t>
  </si>
  <si>
    <t>10/6</t>
  </si>
  <si>
    <t xml:space="preserve">07:38 Se observa mal adicionamiento del floculante en la reguera, se hace ajustar; se ve caponeo leve, por problemas en la reguera de agua en la banda. Desde el dia 28/05/2021 desde la cochada 77 empiezan a trabajar sin carton. </t>
  </si>
  <si>
    <t>KH16296</t>
  </si>
  <si>
    <t>Fernando Z.</t>
  </si>
  <si>
    <t>Rafael V./Nelson S.</t>
  </si>
  <si>
    <t>Placa en condiciones normales y con buena adherencia (22:50).</t>
  </si>
  <si>
    <t>18:15-18:25 No suben sierras transversales lado banda. 18:30--18:40 No suben sierras transversales lado banda, eléctrico revisando. 18:40-19:00 Cambiode sierra y zapata transversal número 4.</t>
  </si>
  <si>
    <t>Emas</t>
  </si>
  <si>
    <t>placa con buena apariencia y adhrencia.(16:30)  06:05-07:11 se cambia bomba de desechos.</t>
  </si>
  <si>
    <t>Daniel T./Luisa C .</t>
  </si>
  <si>
    <t>5+1</t>
  </si>
  <si>
    <t>placa con corte longitudinal 2 con rebaba.(14:43)</t>
  </si>
  <si>
    <t>placa con leve tallon placa molino se le informa al ondulador ,y se raspa se hace destapar reguera del floculante del formato.(12:52)</t>
  </si>
  <si>
    <t>placa con delaminacion y leve desplzamiento lado 2 se le informa al cortador y se ajusta floculante del formato y ondulador le abre al ancho ya que estaba angosta.(11:05)</t>
  </si>
  <si>
    <t>23:35-23:48 Cambio de sierra y zapata longitudinal número 2. 23:48-23:55 Acabandode revisar manguera bomba Robushi.</t>
  </si>
  <si>
    <t>19:55-20:05 Se dispara bomba Robushi.</t>
  </si>
  <si>
    <t>17:05-17:20 Cambiando de medida. 17:20-17:32 Revisando robushi</t>
  </si>
  <si>
    <t>6/5/5</t>
  </si>
  <si>
    <t>Se abre al largo de placa lado operario ( 16:15 )</t>
  </si>
  <si>
    <t>Anderson C.</t>
  </si>
  <si>
    <t>10:38-10:51 se atranca placa en rodillo receptor del formato / 10:51 11:03 se revienta cable de corte del formato</t>
  </si>
  <si>
    <t>05:30-05:42 cambio de zapata longitudinal # 2 placa remontada en lado sello en placas de # 5 se informa al operario y jefe de turno. ( 10:15)</t>
  </si>
  <si>
    <t>Corte longitudinal 1 con rebaba se informa al cortador. Y delaminacion lado sello. ( 07:20 )</t>
  </si>
  <si>
    <t>6/6/4</t>
  </si>
  <si>
    <t>14:27-15:10 Se daña sensor del tanque nivel constante.</t>
  </si>
  <si>
    <t>09:38-09:55 Cambiando sierra y zapatalongitudinal número 1, limpiando todos los levantaplacas. Placa en condiciones normales y con buena adherencia (11:40).</t>
  </si>
  <si>
    <t>Placa en condiciones normales (09:30). Placa en desmoldería con problemas.</t>
  </si>
  <si>
    <t>Placa presenta tallón por aspiardora sucia, operador enterado.05:37-05:46 Se dispara bomba de recuperación.</t>
  </si>
  <si>
    <t>Yeison A.</t>
  </si>
  <si>
    <t>03:30 Tallon en la placa 2 por suciedad en la aspiradora.</t>
  </si>
  <si>
    <t>00:50 Maquina se encuentra innestable.</t>
  </si>
  <si>
    <t>21:40 Se observa delaminacion en el corte longitudinal #1 y presenta basura la placa.</t>
  </si>
  <si>
    <t>18:59 Se observa cortes longitudinales  #1 y trasversal 32 con rebaba, el sello cortado   por la sierra se manda ajustar, tallon en la segunda placa, se informal al ondulador.</t>
  </si>
  <si>
    <t>Placa con buena apariencia y adherencia (12:10).</t>
  </si>
  <si>
    <t>08:42-08:54 Se pega válvula del hidro.</t>
  </si>
  <si>
    <t>Recuperadora JM</t>
  </si>
  <si>
    <t>05:25-06:10 Terminando de limpiar toda la línea de mezcla y lavando fieltro .</t>
  </si>
  <si>
    <t>21:50 Se hace ajustar sello litografico.</t>
  </si>
  <si>
    <t>19:20 Placa en el centro queda desplazada.</t>
  </si>
  <si>
    <t>placa con falta de adherencia enm el medio de la placa se hace destapar reguera del formato , y se le sube al floculante de los tanques por delamincion lado 2.(16:32)08:10-09:18 falta de molderia.  14:39 -15:15 falta de moldes .  15:15 -15:41 limpiando camara principal y camara de secado.  16:20-16:_55 falta rodamiento puente de grua.</t>
  </si>
  <si>
    <t>Daniel T. / Anderson C .</t>
  </si>
  <si>
    <t>placa con desplzamiento lado  1 y corte longitudial  1 con rebaba se le informa al ondulador y  arregla desplazamiento.y corte longitudinal 1 .(14:42)</t>
  </si>
  <si>
    <t>placa con talñlon lado 2 por aspiradorsa se le informa al ondulador parra y raspa aspiradora y se arregla.(10:50)</t>
  </si>
  <si>
    <t>placa con buena apariencia , corte tranversal 4 con rebaba se le baja a la sierra.(07:00)</t>
  </si>
  <si>
    <t>RUC1319</t>
  </si>
  <si>
    <t>Placa en condiciones normales (02:00).</t>
  </si>
  <si>
    <t>20:10-20:25 Cambio de zapatas longitudinales número 1 y 2.</t>
  </si>
  <si>
    <t>Desplazamiento de placa lado 2, operador enterado (19:30).</t>
  </si>
  <si>
    <t>placa con buena apariencia , se le baja a sierra corte transversal 4.(16:15)  06:35-07:05 falta de moldes.  09:27-10:10 falta de moldes.  12:54-13:38 falta de moldes.</t>
  </si>
  <si>
    <t>cortes longitudinales con mucha rebaba se le baja a la sierra.(14:26)</t>
  </si>
  <si>
    <t>se sierra al ancho de la placa ya que estaba desplzando.(10:43)</t>
  </si>
  <si>
    <t>placa con leve caponeo se le abrio al agua en la banda.(07:55)</t>
  </si>
  <si>
    <t>20:35-20:45 Cambio de zapata longitudinal número 2. 21:25-21:45  Destapando válvula sanders mezcla y hogenizador. 21:45-21:50 Se dispara bomba de vacío.</t>
  </si>
  <si>
    <t>PP_Hidro_SolReales__%</t>
  </si>
  <si>
    <t>PP_Refi_CelulosaSR_SR_%</t>
  </si>
  <si>
    <t>PP_Maq_FlujoFloc_L_min</t>
  </si>
  <si>
    <t>PP_Maq_Vel_m_min</t>
  </si>
  <si>
    <t>PP_Maq_FlujoFlocForm_L_Placa</t>
  </si>
  <si>
    <t>PP_PF_Dens_g_cm3</t>
  </si>
  <si>
    <t>PP_MaqTCE_Densidad_g_cm3</t>
  </si>
  <si>
    <t>PP_Maq_MolinoS__%</t>
  </si>
  <si>
    <t>PP_Maq_Cono1S__%</t>
  </si>
  <si>
    <t>PP_Maq_CilinS__%</t>
  </si>
  <si>
    <t>PP_Maq_TCES__%</t>
  </si>
  <si>
    <t>PP_PF_Humedad__%</t>
  </si>
  <si>
    <t>PP_Maq_Recir__%</t>
  </si>
  <si>
    <t>Proceso</t>
  </si>
  <si>
    <t>AUT</t>
  </si>
  <si>
    <t>Adsds01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</si>
</sst>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_-* #,##0_-;\-* #,##0_-;_-* &quot;-&quot;_-;_-@_-"/>
    <numFmt numFmtId="165" formatCode="_(&quot;$&quot;\ * #,##0.00_);_(&quot;$&quot;\ * \(#,##0.00\);_(&quot;$&quot;\ * &quot;-&quot;??_);_(@_)"/>
    <numFmt numFmtId="166" formatCode="0.0000"/>
    <numFmt numFmtId="168" formatCode="0.0"/>
    <numFmt numFmtId="169" formatCode="0.0%"/>
    <numFmt numFmtId="170" formatCode="_(* #,##0_);_(* \(#,##0\);_(* &quot;-&quot;??_);_(@_)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</font>
    <font>
      <b/>
      <sz val="11"/>
      <name val="Calibri"/>
      <family val="2"/>
    </font>
    <font>
      <b/>
      <sz val="12"/>
      <name val="Arial"/>
      <family val="2"/>
    </font>
    <font>
      <sz val="2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18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sz val="10"/>
      <color theme="0" tint="-0.249977111117893"/>
      <name val="Arial"/>
      <family val="2"/>
    </font>
    <font>
      <b/>
      <sz val="14"/>
      <name val="Arial"/>
      <family val="2"/>
    </font>
    <font>
      <u/>
      <sz val="10"/>
      <color indexed="12"/>
      <name val="Tahoma"/>
      <family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5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7">
    <xf numFmtId="0" fontId="0" fillId="0" borderId="0"/>
    <xf numFmtId="9" fontId="7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43" fontId="3" fillId="0" borderId="0" applyFon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7" fillId="0" borderId="0"/>
    <xf numFmtId="9" fontId="10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1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0" borderId="43" xfId="0" applyBorder="1" applyAlignment="1">
      <alignment horizontal="center"/>
    </xf>
    <xf numFmtId="169" fontId="10" fillId="0" borderId="0" xfId="7" applyNumberFormat="1"/>
    <xf numFmtId="169" fontId="10" fillId="0" borderId="13" xfId="7" applyNumberFormat="1" applyFont="1" applyBorder="1" applyAlignment="1">
      <alignment horizontal="center"/>
    </xf>
    <xf numFmtId="169" fontId="10" fillId="0" borderId="23" xfId="7" applyNumberFormat="1" applyFont="1" applyBorder="1" applyAlignment="1">
      <alignment horizontal="center"/>
    </xf>
    <xf numFmtId="169" fontId="10" fillId="0" borderId="26" xfId="7" applyNumberFormat="1" applyFont="1" applyBorder="1" applyAlignment="1">
      <alignment horizontal="center"/>
    </xf>
    <xf numFmtId="169" fontId="10" fillId="0" borderId="24" xfId="7" applyNumberFormat="1" applyFont="1" applyBorder="1" applyAlignment="1">
      <alignment horizontal="center"/>
    </xf>
    <xf numFmtId="169" fontId="10" fillId="0" borderId="28" xfId="7" applyNumberFormat="1" applyFont="1" applyBorder="1" applyAlignment="1">
      <alignment horizontal="center"/>
    </xf>
    <xf numFmtId="169" fontId="10" fillId="0" borderId="43" xfId="7" applyNumberFormat="1" applyFont="1" applyBorder="1" applyAlignment="1">
      <alignment horizontal="center"/>
    </xf>
    <xf numFmtId="169" fontId="10" fillId="0" borderId="45" xfId="7" applyNumberFormat="1" applyFont="1" applyBorder="1" applyAlignment="1">
      <alignment horizontal="center"/>
    </xf>
    <xf numFmtId="169" fontId="10" fillId="0" borderId="44" xfId="7" applyNumberFormat="1" applyFont="1" applyBorder="1" applyAlignment="1">
      <alignment horizontal="center"/>
    </xf>
    <xf numFmtId="170" fontId="20" fillId="0" borderId="0" xfId="5" applyNumberFormat="1" applyFont="1"/>
    <xf numFmtId="169" fontId="10" fillId="0" borderId="32" xfId="7" applyNumberFormat="1" applyFont="1" applyBorder="1" applyAlignment="1">
      <alignment horizontal="center"/>
    </xf>
    <xf numFmtId="169" fontId="10" fillId="0" borderId="7" xfId="7" applyNumberFormat="1" applyFont="1" applyBorder="1" applyAlignment="1">
      <alignment horizontal="center"/>
    </xf>
    <xf numFmtId="169" fontId="10" fillId="0" borderId="19" xfId="7" applyNumberFormat="1" applyFont="1" applyBorder="1" applyAlignment="1">
      <alignment horizontal="center"/>
    </xf>
    <xf numFmtId="169" fontId="10" fillId="0" borderId="30" xfId="7" applyNumberFormat="1" applyFont="1" applyBorder="1" applyAlignment="1">
      <alignment horizontal="center"/>
    </xf>
    <xf numFmtId="169" fontId="10" fillId="0" borderId="34" xfId="7" applyNumberFormat="1" applyFont="1" applyBorder="1" applyAlignment="1">
      <alignment horizontal="center"/>
    </xf>
    <xf numFmtId="169" fontId="10" fillId="0" borderId="16" xfId="7" applyNumberFormat="1" applyFont="1" applyBorder="1" applyAlignment="1">
      <alignment horizontal="center"/>
    </xf>
    <xf numFmtId="169" fontId="10" fillId="0" borderId="35" xfId="7" applyNumberFormat="1" applyFont="1" applyBorder="1" applyAlignment="1">
      <alignment horizontal="center"/>
    </xf>
    <xf numFmtId="169" fontId="10" fillId="0" borderId="17" xfId="7" applyNumberFormat="1" applyFont="1" applyBorder="1" applyAlignment="1">
      <alignment horizontal="center"/>
    </xf>
    <xf numFmtId="169" fontId="10" fillId="0" borderId="13" xfId="7" applyNumberFormat="1" applyFont="1" applyBorder="1" applyAlignment="1">
      <alignment horizontal="center" vertical="center"/>
    </xf>
    <xf numFmtId="169" fontId="10" fillId="0" borderId="23" xfId="7" applyNumberFormat="1" applyFont="1" applyBorder="1" applyAlignment="1">
      <alignment horizontal="center" vertical="center"/>
    </xf>
    <xf numFmtId="169" fontId="10" fillId="0" borderId="26" xfId="7" applyNumberFormat="1" applyFont="1" applyBorder="1" applyAlignment="1">
      <alignment horizontal="center" vertical="center"/>
    </xf>
    <xf numFmtId="169" fontId="10" fillId="0" borderId="24" xfId="7" applyNumberFormat="1" applyFont="1" applyBorder="1" applyAlignment="1">
      <alignment horizontal="center" vertical="center"/>
    </xf>
    <xf numFmtId="169" fontId="10" fillId="0" borderId="32" xfId="7" applyNumberFormat="1" applyFont="1" applyBorder="1" applyAlignment="1">
      <alignment horizontal="center" vertical="center"/>
    </xf>
    <xf numFmtId="169" fontId="10" fillId="0" borderId="7" xfId="7" applyNumberFormat="1" applyFont="1" applyBorder="1" applyAlignment="1">
      <alignment horizontal="center" vertical="center"/>
    </xf>
    <xf numFmtId="169" fontId="10" fillId="0" borderId="19" xfId="7" applyNumberFormat="1" applyFont="1" applyBorder="1" applyAlignment="1">
      <alignment horizontal="center" vertical="center"/>
    </xf>
    <xf numFmtId="169" fontId="10" fillId="0" borderId="30" xfId="7" applyNumberFormat="1" applyFont="1" applyBorder="1" applyAlignment="1">
      <alignment horizontal="center" vertical="center"/>
    </xf>
    <xf numFmtId="169" fontId="10" fillId="0" borderId="34" xfId="7" applyNumberFormat="1" applyFont="1" applyBorder="1" applyAlignment="1">
      <alignment horizontal="center" vertical="center"/>
    </xf>
    <xf numFmtId="169" fontId="10" fillId="0" borderId="16" xfId="7" applyNumberFormat="1" applyFont="1" applyBorder="1" applyAlignment="1">
      <alignment horizontal="center" vertical="center"/>
    </xf>
    <xf numFmtId="169" fontId="10" fillId="0" borderId="35" xfId="7" applyNumberFormat="1" applyFont="1" applyBorder="1" applyAlignment="1">
      <alignment horizontal="center" vertical="center"/>
    </xf>
    <xf numFmtId="169" fontId="10" fillId="0" borderId="17" xfId="7" applyNumberFormat="1" applyFont="1" applyBorder="1" applyAlignment="1">
      <alignment horizontal="center" vertical="center"/>
    </xf>
    <xf numFmtId="169" fontId="20" fillId="0" borderId="0" xfId="7" applyNumberFormat="1" applyFont="1"/>
    <xf numFmtId="0" fontId="10" fillId="0" borderId="0" xfId="4"/>
    <xf numFmtId="0" fontId="20" fillId="0" borderId="0" xfId="4" applyFont="1"/>
    <xf numFmtId="0" fontId="20" fillId="0" borderId="0" xfId="4" applyFont="1" applyAlignment="1">
      <alignment horizontal="center"/>
    </xf>
    <xf numFmtId="10" fontId="20" fillId="0" borderId="0" xfId="4" applyNumberFormat="1" applyFont="1" applyAlignment="1">
      <alignment horizontal="center"/>
    </xf>
    <xf numFmtId="10" fontId="20" fillId="0" borderId="0" xfId="7" applyNumberFormat="1" applyFont="1"/>
    <xf numFmtId="166" fontId="20" fillId="0" borderId="0" xfId="4" applyNumberFormat="1" applyFont="1"/>
    <xf numFmtId="169" fontId="20" fillId="0" borderId="0" xfId="4" applyNumberFormat="1" applyFont="1"/>
    <xf numFmtId="0" fontId="10" fillId="0" borderId="4" xfId="4" applyBorder="1" applyAlignment="1">
      <alignment horizontal="center" vertical="center"/>
    </xf>
    <xf numFmtId="0" fontId="20" fillId="0" borderId="0" xfId="4" applyFont="1" applyAlignment="1">
      <alignment horizontal="center" vertical="center"/>
    </xf>
    <xf numFmtId="0" fontId="10" fillId="0" borderId="0" xfId="4" applyAlignment="1">
      <alignment horizontal="center" vertical="center"/>
    </xf>
    <xf numFmtId="0" fontId="15" fillId="8" borderId="9" xfId="4" applyFont="1" applyFill="1" applyBorder="1"/>
    <xf numFmtId="0" fontId="10" fillId="0" borderId="21" xfId="4" applyBorder="1"/>
    <xf numFmtId="0" fontId="15" fillId="7" borderId="9" xfId="4" applyFont="1" applyFill="1" applyBorder="1" applyAlignment="1">
      <alignment horizontal="center" vertical="center"/>
    </xf>
    <xf numFmtId="0" fontId="16" fillId="7" borderId="9" xfId="4" applyFont="1" applyFill="1" applyBorder="1" applyAlignment="1">
      <alignment horizontal="center" vertical="center"/>
    </xf>
    <xf numFmtId="0" fontId="15" fillId="8" borderId="9" xfId="4" applyFont="1" applyFill="1" applyBorder="1" applyAlignment="1">
      <alignment horizontal="center" vertical="center" wrapText="1"/>
    </xf>
    <xf numFmtId="0" fontId="15" fillId="9" borderId="36" xfId="4" applyFont="1" applyFill="1" applyBorder="1" applyAlignment="1">
      <alignment horizontal="center" vertical="center" wrapText="1"/>
    </xf>
    <xf numFmtId="0" fontId="15" fillId="9" borderId="37" xfId="4" applyFont="1" applyFill="1" applyBorder="1" applyAlignment="1">
      <alignment horizontal="center" vertical="center" wrapText="1"/>
    </xf>
    <xf numFmtId="0" fontId="15" fillId="9" borderId="38" xfId="4" applyFont="1" applyFill="1" applyBorder="1" applyAlignment="1">
      <alignment horizontal="center" vertical="center" wrapText="1"/>
    </xf>
    <xf numFmtId="0" fontId="15" fillId="5" borderId="36" xfId="4" applyFont="1" applyFill="1" applyBorder="1" applyAlignment="1">
      <alignment horizontal="center" vertical="center" wrapText="1"/>
    </xf>
    <xf numFmtId="0" fontId="15" fillId="5" borderId="37" xfId="4" applyFont="1" applyFill="1" applyBorder="1" applyAlignment="1">
      <alignment horizontal="center" vertical="center" wrapText="1"/>
    </xf>
    <xf numFmtId="0" fontId="15" fillId="5" borderId="38" xfId="4" applyFont="1" applyFill="1" applyBorder="1" applyAlignment="1">
      <alignment horizontal="center" vertical="center"/>
    </xf>
    <xf numFmtId="0" fontId="15" fillId="6" borderId="39" xfId="4" applyFont="1" applyFill="1" applyBorder="1" applyAlignment="1">
      <alignment horizontal="center" vertical="center" wrapText="1"/>
    </xf>
    <xf numFmtId="0" fontId="15" fillId="6" borderId="37" xfId="4" applyFont="1" applyFill="1" applyBorder="1" applyAlignment="1">
      <alignment horizontal="center" vertical="center" wrapText="1"/>
    </xf>
    <xf numFmtId="0" fontId="13" fillId="7" borderId="5" xfId="4" applyFont="1" applyFill="1" applyBorder="1" applyAlignment="1">
      <alignment horizontal="center" vertical="center" wrapText="1"/>
    </xf>
    <xf numFmtId="0" fontId="20" fillId="0" borderId="0" xfId="4" applyFont="1" applyAlignment="1">
      <alignment vertical="center"/>
    </xf>
    <xf numFmtId="0" fontId="15" fillId="9" borderId="39" xfId="4" applyFont="1" applyFill="1" applyBorder="1" applyAlignment="1">
      <alignment horizontal="center" vertical="center" wrapText="1"/>
    </xf>
    <xf numFmtId="0" fontId="10" fillId="0" borderId="0" xfId="4" applyAlignment="1">
      <alignment vertical="center"/>
    </xf>
    <xf numFmtId="0" fontId="19" fillId="0" borderId="46" xfId="4" applyFont="1" applyBorder="1"/>
    <xf numFmtId="0" fontId="10" fillId="0" borderId="46" xfId="4" applyBorder="1" applyAlignment="1">
      <alignment horizontal="center"/>
    </xf>
    <xf numFmtId="0" fontId="10" fillId="0" borderId="51" xfId="4" applyBorder="1" applyAlignment="1">
      <alignment horizontal="center"/>
    </xf>
    <xf numFmtId="0" fontId="10" fillId="0" borderId="23" xfId="4" applyBorder="1" applyAlignment="1">
      <alignment horizontal="center"/>
    </xf>
    <xf numFmtId="0" fontId="10" fillId="0" borderId="24" xfId="4" applyBorder="1" applyAlignment="1">
      <alignment horizontal="center"/>
    </xf>
    <xf numFmtId="1" fontId="10" fillId="0" borderId="51" xfId="4" applyNumberFormat="1" applyBorder="1" applyAlignment="1">
      <alignment horizontal="center"/>
    </xf>
    <xf numFmtId="168" fontId="19" fillId="0" borderId="23" xfId="4" applyNumberFormat="1" applyFont="1" applyBorder="1" applyAlignment="1">
      <alignment horizontal="center"/>
    </xf>
    <xf numFmtId="0" fontId="10" fillId="0" borderId="25" xfId="4" applyBorder="1" applyAlignment="1">
      <alignment horizontal="center"/>
    </xf>
    <xf numFmtId="2" fontId="10" fillId="0" borderId="25" xfId="4" applyNumberFormat="1" applyBorder="1" applyAlignment="1">
      <alignment horizontal="center"/>
    </xf>
    <xf numFmtId="2" fontId="10" fillId="0" borderId="14" xfId="4" applyNumberFormat="1" applyBorder="1" applyAlignment="1">
      <alignment horizontal="center"/>
    </xf>
    <xf numFmtId="1" fontId="15" fillId="0" borderId="14" xfId="4" applyNumberFormat="1" applyFont="1" applyBorder="1" applyAlignment="1">
      <alignment horizontal="center"/>
    </xf>
    <xf numFmtId="0" fontId="19" fillId="0" borderId="48" xfId="4" applyFont="1" applyBorder="1"/>
    <xf numFmtId="0" fontId="10" fillId="0" borderId="47" xfId="4" applyBorder="1" applyAlignment="1">
      <alignment horizontal="center"/>
    </xf>
    <xf numFmtId="0" fontId="10" fillId="0" borderId="8" xfId="4" applyBorder="1" applyAlignment="1">
      <alignment horizontal="center"/>
    </xf>
    <xf numFmtId="0" fontId="10" fillId="0" borderId="43" xfId="4" applyBorder="1" applyAlignment="1">
      <alignment horizontal="center"/>
    </xf>
    <xf numFmtId="0" fontId="10" fillId="0" borderId="44" xfId="4" applyBorder="1" applyAlignment="1">
      <alignment horizontal="center"/>
    </xf>
    <xf numFmtId="3" fontId="10" fillId="0" borderId="8" xfId="4" applyNumberFormat="1" applyBorder="1" applyAlignment="1">
      <alignment horizontal="center"/>
    </xf>
    <xf numFmtId="168" fontId="19" fillId="0" borderId="43" xfId="4" applyNumberFormat="1" applyFont="1" applyBorder="1" applyAlignment="1">
      <alignment horizontal="center"/>
    </xf>
    <xf numFmtId="0" fontId="10" fillId="0" borderId="27" xfId="4" applyBorder="1" applyAlignment="1">
      <alignment horizontal="center"/>
    </xf>
    <xf numFmtId="2" fontId="10" fillId="0" borderId="27" xfId="4" applyNumberFormat="1" applyBorder="1" applyAlignment="1">
      <alignment horizontal="center"/>
    </xf>
    <xf numFmtId="2" fontId="10" fillId="0" borderId="53" xfId="4" applyNumberFormat="1" applyBorder="1" applyAlignment="1">
      <alignment horizontal="center"/>
    </xf>
    <xf numFmtId="1" fontId="15" fillId="0" borderId="42" xfId="4" applyNumberFormat="1" applyFont="1" applyBorder="1" applyAlignment="1">
      <alignment horizontal="center"/>
    </xf>
    <xf numFmtId="0" fontId="19" fillId="0" borderId="47" xfId="4" applyFont="1" applyBorder="1"/>
    <xf numFmtId="1" fontId="15" fillId="0" borderId="53" xfId="4" applyNumberFormat="1" applyFont="1" applyBorder="1" applyAlignment="1">
      <alignment horizontal="center"/>
    </xf>
    <xf numFmtId="0" fontId="19" fillId="0" borderId="47" xfId="4" applyFont="1" applyBorder="1" applyAlignment="1">
      <alignment vertical="center"/>
    </xf>
    <xf numFmtId="0" fontId="10" fillId="3" borderId="47" xfId="4" applyFill="1" applyBorder="1" applyAlignment="1">
      <alignment horizontal="center"/>
    </xf>
    <xf numFmtId="0" fontId="10" fillId="3" borderId="44" xfId="4" applyFill="1" applyBorder="1" applyAlignment="1">
      <alignment horizontal="center"/>
    </xf>
    <xf numFmtId="0" fontId="19" fillId="0" borderId="52" xfId="4" applyFont="1" applyBorder="1"/>
    <xf numFmtId="0" fontId="10" fillId="3" borderId="52" xfId="4" applyFill="1" applyBorder="1" applyAlignment="1">
      <alignment horizontal="center"/>
    </xf>
    <xf numFmtId="0" fontId="10" fillId="0" borderId="29" xfId="4" applyBorder="1" applyAlignment="1">
      <alignment horizontal="center"/>
    </xf>
    <xf numFmtId="0" fontId="10" fillId="0" borderId="7" xfId="4" applyBorder="1" applyAlignment="1">
      <alignment horizontal="center"/>
    </xf>
    <xf numFmtId="0" fontId="10" fillId="0" borderId="30" xfId="4" applyBorder="1" applyAlignment="1">
      <alignment horizontal="center"/>
    </xf>
    <xf numFmtId="168" fontId="19" fillId="0" borderId="16" xfId="4" applyNumberFormat="1" applyFont="1" applyBorder="1" applyAlignment="1">
      <alignment horizontal="center"/>
    </xf>
    <xf numFmtId="168" fontId="19" fillId="0" borderId="7" xfId="4" applyNumberFormat="1" applyFont="1" applyBorder="1" applyAlignment="1">
      <alignment horizontal="center"/>
    </xf>
    <xf numFmtId="0" fontId="10" fillId="0" borderId="31" xfId="4" applyBorder="1" applyAlignment="1">
      <alignment horizontal="center"/>
    </xf>
    <xf numFmtId="0" fontId="10" fillId="3" borderId="30" xfId="4" applyFill="1" applyBorder="1" applyAlignment="1">
      <alignment horizontal="center"/>
    </xf>
    <xf numFmtId="2" fontId="15" fillId="0" borderId="31" xfId="4" applyNumberFormat="1" applyFont="1" applyBorder="1" applyAlignment="1">
      <alignment horizontal="center"/>
    </xf>
    <xf numFmtId="2" fontId="10" fillId="0" borderId="21" xfId="4" applyNumberFormat="1" applyBorder="1" applyAlignment="1">
      <alignment horizontal="center"/>
    </xf>
    <xf numFmtId="1" fontId="15" fillId="0" borderId="21" xfId="4" applyNumberFormat="1" applyFont="1" applyBorder="1" applyAlignment="1">
      <alignment horizontal="center"/>
    </xf>
    <xf numFmtId="3" fontId="10" fillId="0" borderId="51" xfId="4" applyNumberFormat="1" applyBorder="1" applyAlignment="1">
      <alignment horizontal="center"/>
    </xf>
    <xf numFmtId="168" fontId="19" fillId="0" borderId="51" xfId="4" applyNumberFormat="1" applyFont="1" applyBorder="1" applyAlignment="1">
      <alignment horizontal="center"/>
    </xf>
    <xf numFmtId="168" fontId="19" fillId="0" borderId="8" xfId="4" applyNumberFormat="1" applyFont="1" applyBorder="1" applyAlignment="1">
      <alignment horizontal="center"/>
    </xf>
    <xf numFmtId="166" fontId="19" fillId="0" borderId="8" xfId="4" applyNumberFormat="1" applyFont="1" applyBorder="1" applyAlignment="1">
      <alignment horizontal="center"/>
    </xf>
    <xf numFmtId="0" fontId="19" fillId="0" borderId="33" xfId="4" applyFont="1" applyBorder="1"/>
    <xf numFmtId="0" fontId="10" fillId="0" borderId="33" xfId="4" applyBorder="1" applyAlignment="1">
      <alignment horizontal="center"/>
    </xf>
    <xf numFmtId="0" fontId="10" fillId="0" borderId="50" xfId="4" applyBorder="1" applyAlignment="1">
      <alignment horizontal="center"/>
    </xf>
    <xf numFmtId="0" fontId="10" fillId="0" borderId="16" xfId="4" applyBorder="1" applyAlignment="1">
      <alignment horizontal="center"/>
    </xf>
    <xf numFmtId="0" fontId="10" fillId="0" borderId="17" xfId="4" applyBorder="1" applyAlignment="1">
      <alignment horizontal="center"/>
    </xf>
    <xf numFmtId="3" fontId="10" fillId="0" borderId="50" xfId="4" applyNumberFormat="1" applyBorder="1" applyAlignment="1">
      <alignment horizontal="center"/>
    </xf>
    <xf numFmtId="168" fontId="19" fillId="0" borderId="50" xfId="4" applyNumberFormat="1" applyFont="1" applyBorder="1" applyAlignment="1">
      <alignment horizontal="center"/>
    </xf>
    <xf numFmtId="0" fontId="10" fillId="0" borderId="15" xfId="4" applyBorder="1" applyAlignment="1">
      <alignment horizontal="center"/>
    </xf>
    <xf numFmtId="2" fontId="10" fillId="0" borderId="54" xfId="4" applyNumberFormat="1" applyBorder="1" applyAlignment="1">
      <alignment horizontal="center"/>
    </xf>
    <xf numFmtId="1" fontId="15" fillId="0" borderId="54" xfId="4" applyNumberFormat="1" applyFont="1" applyBorder="1" applyAlignment="1">
      <alignment horizontal="center"/>
    </xf>
    <xf numFmtId="0" fontId="19" fillId="0" borderId="46" xfId="4" applyFont="1" applyBorder="1" applyAlignment="1">
      <alignment vertical="center"/>
    </xf>
    <xf numFmtId="0" fontId="10" fillId="0" borderId="46" xfId="4" applyBorder="1" applyAlignment="1">
      <alignment horizontal="center" vertical="center"/>
    </xf>
    <xf numFmtId="0" fontId="10" fillId="0" borderId="51" xfId="4" applyBorder="1" applyAlignment="1">
      <alignment horizontal="center" vertical="center"/>
    </xf>
    <xf numFmtId="0" fontId="10" fillId="0" borderId="23" xfId="4" applyBorder="1" applyAlignment="1">
      <alignment horizontal="center" vertical="center"/>
    </xf>
    <xf numFmtId="0" fontId="10" fillId="0" borderId="24" xfId="4" applyBorder="1" applyAlignment="1">
      <alignment horizontal="center" vertical="center"/>
    </xf>
    <xf numFmtId="168" fontId="19" fillId="0" borderId="23" xfId="4" applyNumberFormat="1" applyFont="1" applyBorder="1" applyAlignment="1">
      <alignment horizontal="center" vertical="center"/>
    </xf>
    <xf numFmtId="0" fontId="10" fillId="0" borderId="25" xfId="4" applyBorder="1" applyAlignment="1">
      <alignment horizontal="center" vertical="center"/>
    </xf>
    <xf numFmtId="2" fontId="10" fillId="0" borderId="25" xfId="4" applyNumberFormat="1" applyBorder="1" applyAlignment="1">
      <alignment horizontal="center" vertical="center"/>
    </xf>
    <xf numFmtId="2" fontId="10" fillId="0" borderId="14" xfId="4" applyNumberFormat="1" applyBorder="1" applyAlignment="1">
      <alignment horizontal="center" vertical="center"/>
    </xf>
    <xf numFmtId="0" fontId="19" fillId="0" borderId="33" xfId="4" applyFont="1" applyBorder="1" applyAlignment="1">
      <alignment vertical="center"/>
    </xf>
    <xf numFmtId="0" fontId="10" fillId="3" borderId="33" xfId="4" applyFill="1" applyBorder="1" applyAlignment="1">
      <alignment horizontal="center" vertical="center"/>
    </xf>
    <xf numFmtId="0" fontId="10" fillId="0" borderId="50" xfId="4" applyBorder="1" applyAlignment="1">
      <alignment horizontal="center" vertical="center"/>
    </xf>
    <xf numFmtId="0" fontId="10" fillId="0" borderId="16" xfId="4" applyBorder="1" applyAlignment="1">
      <alignment horizontal="center" vertical="center"/>
    </xf>
    <xf numFmtId="0" fontId="10" fillId="0" borderId="17" xfId="4" applyBorder="1" applyAlignment="1">
      <alignment horizontal="center" vertical="center"/>
    </xf>
    <xf numFmtId="168" fontId="19" fillId="0" borderId="16" xfId="4" applyNumberFormat="1" applyFont="1" applyBorder="1" applyAlignment="1">
      <alignment horizontal="center" vertical="center"/>
    </xf>
    <xf numFmtId="0" fontId="10" fillId="0" borderId="15" xfId="4" applyBorder="1" applyAlignment="1">
      <alignment horizontal="center" vertical="center"/>
    </xf>
    <xf numFmtId="0" fontId="10" fillId="3" borderId="17" xfId="4" applyFill="1" applyBorder="1" applyAlignment="1">
      <alignment horizontal="center" vertical="center"/>
    </xf>
    <xf numFmtId="2" fontId="10" fillId="0" borderId="15" xfId="4" applyNumberFormat="1" applyBorder="1" applyAlignment="1">
      <alignment horizontal="center" vertical="center"/>
    </xf>
    <xf numFmtId="2" fontId="10" fillId="0" borderId="54" xfId="4" applyNumberFormat="1" applyBorder="1" applyAlignment="1">
      <alignment horizontal="center" vertical="center"/>
    </xf>
    <xf numFmtId="0" fontId="21" fillId="0" borderId="0" xfId="4" applyFont="1"/>
    <xf numFmtId="2" fontId="20" fillId="0" borderId="0" xfId="4" applyNumberFormat="1" applyFont="1"/>
    <xf numFmtId="0" fontId="22" fillId="0" borderId="0" xfId="4" applyFont="1" applyAlignment="1">
      <alignment horizontal="center" vertical="top" wrapText="1"/>
    </xf>
    <xf numFmtId="9" fontId="20" fillId="0" borderId="0" xfId="4" applyNumberFormat="1" applyFont="1"/>
    <xf numFmtId="9" fontId="20" fillId="0" borderId="0" xfId="7" applyFont="1"/>
    <xf numFmtId="9" fontId="10" fillId="0" borderId="0" xfId="7" applyFont="1"/>
    <xf numFmtId="9" fontId="10" fillId="0" borderId="0" xfId="4" applyNumberFormat="1"/>
    <xf numFmtId="0" fontId="16" fillId="0" borderId="0" xfId="4" applyFont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14" fontId="0" fillId="0" borderId="43" xfId="0" applyNumberFormat="1" applyBorder="1" applyAlignment="1">
      <alignment horizontal="center"/>
    </xf>
    <xf numFmtId="49" fontId="0" fillId="0" borderId="43" xfId="0" applyNumberFormat="1" applyBorder="1" applyAlignment="1">
      <alignment horizontal="center" vertical="center"/>
    </xf>
    <xf numFmtId="20" fontId="0" fillId="0" borderId="43" xfId="0" applyNumberFormat="1" applyBorder="1" applyAlignment="1">
      <alignment horizontal="center"/>
    </xf>
    <xf numFmtId="1" fontId="0" fillId="4" borderId="43" xfId="0" applyNumberFormat="1" applyFill="1" applyBorder="1" applyAlignment="1">
      <alignment horizontal="center"/>
    </xf>
    <xf numFmtId="0" fontId="0" fillId="0" borderId="43" xfId="0" applyBorder="1"/>
    <xf numFmtId="1" fontId="0" fillId="0" borderId="43" xfId="0" applyNumberFormat="1" applyBorder="1" applyAlignment="1">
      <alignment horizontal="center"/>
    </xf>
    <xf numFmtId="1" fontId="0" fillId="0" borderId="43" xfId="0" applyNumberFormat="1" applyBorder="1"/>
    <xf numFmtId="14" fontId="0" fillId="0" borderId="43" xfId="0" applyNumberFormat="1" applyBorder="1"/>
    <xf numFmtId="10" fontId="6" fillId="0" borderId="43" xfId="1" applyNumberFormat="1" applyFont="1" applyBorder="1" applyAlignment="1">
      <alignment horizontal="center" vertical="center"/>
    </xf>
    <xf numFmtId="1" fontId="8" fillId="0" borderId="43" xfId="0" applyNumberFormat="1" applyFont="1" applyBorder="1" applyAlignment="1">
      <alignment horizontal="center" vertical="center" wrapText="1"/>
    </xf>
    <xf numFmtId="14" fontId="11" fillId="0" borderId="43" xfId="0" applyNumberFormat="1" applyFont="1" applyBorder="1" applyAlignment="1">
      <alignment horizontal="center" vertical="center" wrapText="1"/>
    </xf>
    <xf numFmtId="0" fontId="11" fillId="0" borderId="43" xfId="0" applyFont="1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12" fillId="10" borderId="43" xfId="0" applyFont="1" applyFill="1" applyBorder="1" applyAlignment="1">
      <alignment horizontal="center" vertical="center" wrapText="1"/>
    </xf>
    <xf numFmtId="0" fontId="8" fillId="10" borderId="43" xfId="0" applyFont="1" applyFill="1" applyBorder="1" applyAlignment="1">
      <alignment horizontal="center" vertical="center" wrapText="1"/>
    </xf>
    <xf numFmtId="0" fontId="15" fillId="6" borderId="22" xfId="4" applyFont="1" applyFill="1" applyBorder="1" applyAlignment="1">
      <alignment horizontal="center" vertical="center" wrapText="1"/>
    </xf>
    <xf numFmtId="0" fontId="15" fillId="6" borderId="5" xfId="4" applyFont="1" applyFill="1" applyBorder="1" applyAlignment="1">
      <alignment horizontal="center" vertical="center" wrapText="1"/>
    </xf>
    <xf numFmtId="0" fontId="14" fillId="0" borderId="40" xfId="4" applyFont="1" applyBorder="1" applyAlignment="1">
      <alignment horizontal="center" vertical="center" wrapText="1"/>
    </xf>
    <xf numFmtId="0" fontId="14" fillId="0" borderId="52" xfId="4" applyFont="1" applyBorder="1" applyAlignment="1">
      <alignment horizontal="center" vertical="center" wrapText="1"/>
    </xf>
    <xf numFmtId="0" fontId="14" fillId="0" borderId="49" xfId="4" applyFont="1" applyBorder="1" applyAlignment="1">
      <alignment horizontal="center" vertical="center" wrapText="1"/>
    </xf>
    <xf numFmtId="0" fontId="17" fillId="0" borderId="40" xfId="4" applyFont="1" applyBorder="1" applyAlignment="1">
      <alignment horizontal="center" vertical="center" wrapText="1"/>
    </xf>
    <xf numFmtId="0" fontId="17" fillId="0" borderId="52" xfId="4" applyFont="1" applyBorder="1" applyAlignment="1">
      <alignment horizontal="center" vertical="center" wrapText="1"/>
    </xf>
    <xf numFmtId="0" fontId="17" fillId="0" borderId="49" xfId="4" applyFont="1" applyBorder="1" applyAlignment="1">
      <alignment horizontal="center" vertical="center" wrapText="1"/>
    </xf>
    <xf numFmtId="0" fontId="16" fillId="0" borderId="56" xfId="4" applyFont="1" applyBorder="1" applyAlignment="1">
      <alignment horizontal="center" vertical="center" wrapText="1"/>
    </xf>
    <xf numFmtId="0" fontId="16" fillId="0" borderId="55" xfId="4" applyFont="1" applyBorder="1" applyAlignment="1">
      <alignment horizontal="center" vertical="center" wrapText="1"/>
    </xf>
    <xf numFmtId="0" fontId="16" fillId="0" borderId="57" xfId="4" applyFont="1" applyBorder="1" applyAlignment="1">
      <alignment horizontal="center" vertical="center" wrapText="1"/>
    </xf>
    <xf numFmtId="0" fontId="16" fillId="0" borderId="19" xfId="4" applyFont="1" applyBorder="1" applyAlignment="1">
      <alignment horizontal="center" vertical="center" wrapText="1"/>
    </xf>
    <xf numFmtId="0" fontId="16" fillId="0" borderId="0" xfId="4" applyFont="1" applyAlignment="1">
      <alignment horizontal="center" vertical="center" wrapText="1"/>
    </xf>
    <xf numFmtId="0" fontId="16" fillId="0" borderId="29" xfId="4" applyFont="1" applyBorder="1" applyAlignment="1">
      <alignment horizontal="center" vertical="center" wrapText="1"/>
    </xf>
    <xf numFmtId="0" fontId="16" fillId="0" borderId="18" xfId="4" applyFont="1" applyBorder="1" applyAlignment="1">
      <alignment horizontal="center" vertical="center" wrapText="1"/>
    </xf>
    <xf numFmtId="0" fontId="16" fillId="0" borderId="41" xfId="4" applyFont="1" applyBorder="1" applyAlignment="1">
      <alignment horizontal="center" vertical="center" wrapText="1"/>
    </xf>
    <xf numFmtId="0" fontId="16" fillId="0" borderId="10" xfId="4" applyFont="1" applyBorder="1" applyAlignment="1">
      <alignment horizontal="center" vertical="center" wrapText="1"/>
    </xf>
    <xf numFmtId="0" fontId="22" fillId="0" borderId="45" xfId="4" applyFont="1" applyBorder="1" applyAlignment="1">
      <alignment horizontal="center" vertical="top" wrapText="1"/>
    </xf>
    <xf numFmtId="0" fontId="22" fillId="0" borderId="12" xfId="4" applyFont="1" applyBorder="1" applyAlignment="1">
      <alignment horizontal="center" vertical="top" wrapText="1"/>
    </xf>
    <xf numFmtId="0" fontId="22" fillId="0" borderId="8" xfId="4" applyFont="1" applyBorder="1" applyAlignment="1">
      <alignment horizontal="center" vertical="top" wrapText="1"/>
    </xf>
    <xf numFmtId="0" fontId="13" fillId="3" borderId="6" xfId="4" applyFont="1" applyFill="1" applyBorder="1" applyAlignment="1">
      <alignment horizontal="center" vertical="center" wrapText="1"/>
    </xf>
    <xf numFmtId="0" fontId="13" fillId="3" borderId="20" xfId="4" applyFont="1" applyFill="1" applyBorder="1" applyAlignment="1">
      <alignment horizontal="center" vertical="center" wrapText="1"/>
    </xf>
    <xf numFmtId="14" fontId="14" fillId="3" borderId="4" xfId="4" applyNumberFormat="1" applyFont="1" applyFill="1" applyBorder="1" applyAlignment="1">
      <alignment horizontal="center" vertical="center"/>
    </xf>
    <xf numFmtId="14" fontId="14" fillId="3" borderId="11" xfId="4" applyNumberFormat="1" applyFont="1" applyFill="1" applyBorder="1" applyAlignment="1">
      <alignment horizontal="center" vertical="center"/>
    </xf>
    <xf numFmtId="0" fontId="13" fillId="7" borderId="6" xfId="4" applyFont="1" applyFill="1" applyBorder="1" applyAlignment="1">
      <alignment horizontal="center" vertical="center"/>
    </xf>
    <xf numFmtId="0" fontId="13" fillId="7" borderId="1" xfId="4" applyFont="1" applyFill="1" applyBorder="1" applyAlignment="1">
      <alignment horizontal="center" vertical="center"/>
    </xf>
    <xf numFmtId="0" fontId="13" fillId="7" borderId="4" xfId="4" applyFont="1" applyFill="1" applyBorder="1" applyAlignment="1">
      <alignment horizontal="center" vertical="center"/>
    </xf>
    <xf numFmtId="0" fontId="15" fillId="9" borderId="2" xfId="4" applyFont="1" applyFill="1" applyBorder="1" applyAlignment="1">
      <alignment horizontal="center"/>
    </xf>
    <xf numFmtId="0" fontId="15" fillId="9" borderId="5" xfId="4" applyFont="1" applyFill="1" applyBorder="1" applyAlignment="1">
      <alignment horizontal="center"/>
    </xf>
    <xf numFmtId="0" fontId="15" fillId="5" borderId="3" xfId="4" applyFont="1" applyFill="1" applyBorder="1" applyAlignment="1">
      <alignment horizontal="center"/>
    </xf>
    <xf numFmtId="0" fontId="15" fillId="5" borderId="2" xfId="4" applyFont="1" applyFill="1" applyBorder="1" applyAlignment="1">
      <alignment horizontal="center"/>
    </xf>
    <xf numFmtId="0" fontId="15" fillId="5" borderId="5" xfId="4" applyFont="1" applyFill="1" applyBorder="1" applyAlignment="1">
      <alignment horizontal="center"/>
    </xf>
    <xf numFmtId="0" fontId="15" fillId="6" borderId="3" xfId="4" applyFont="1" applyFill="1" applyBorder="1" applyAlignment="1">
      <alignment horizontal="center"/>
    </xf>
    <xf numFmtId="0" fontId="15" fillId="6" borderId="2" xfId="4" applyFont="1" applyFill="1" applyBorder="1" applyAlignment="1">
      <alignment horizontal="center"/>
    </xf>
    <xf numFmtId="0" fontId="15" fillId="6" borderId="5" xfId="4" applyFont="1" applyFill="1" applyBorder="1" applyAlignment="1">
      <alignment horizontal="center"/>
    </xf>
    <xf numFmtId="2" fontId="8" fillId="0" borderId="43" xfId="0" applyNumberFormat="1" applyFont="1" applyBorder="1" applyAlignment="1">
      <alignment horizontal="center"/>
    </xf>
    <xf numFmtId="2" fontId="8" fillId="0" borderId="43" xfId="1" applyNumberFormat="1" applyFont="1" applyBorder="1" applyAlignment="1">
      <alignment horizontal="center"/>
    </xf>
    <xf numFmtId="2" fontId="6" fillId="0" borderId="43" xfId="2" applyNumberFormat="1" applyFont="1" applyBorder="1" applyAlignment="1">
      <alignment horizontal="center"/>
    </xf>
    <xf numFmtId="2" fontId="6" fillId="0" borderId="7" xfId="2" applyNumberFormat="1" applyFont="1" applyBorder="1" applyAlignment="1">
      <alignment horizontal="center"/>
    </xf>
    <xf numFmtId="2" fontId="0" fillId="0" borderId="43" xfId="2" applyNumberFormat="1" applyFon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2" fontId="0" fillId="2" borderId="43" xfId="0" applyNumberFormat="1" applyFill="1" applyBorder="1" applyAlignment="1">
      <alignment horizontal="center"/>
    </xf>
    <xf numFmtId="2" fontId="0" fillId="2" borderId="43" xfId="2" applyNumberFormat="1" applyFont="1" applyFill="1" applyBorder="1" applyAlignment="1">
      <alignment horizontal="center"/>
    </xf>
  </cellXfs>
  <cellStyles count="27">
    <cellStyle name="Hipervínculo 2" xfId="21" xr:uid="{00000000-0005-0000-0000-000000000000}"/>
    <cellStyle name="Millares" xfId="3" xr:uid="{00000000-0005-0000-0000-000001000000}"/>
    <cellStyle name="Millares [0]" xfId="9" xr:uid="{00000000-0005-0000-0000-000002000000}"/>
    <cellStyle name="Millares [0] 2" xfId="6" xr:uid="{00000000-0005-0000-0000-000003000000}"/>
    <cellStyle name="Millares [0] 3" xfId="12" xr:uid="{00000000-0005-0000-0000-000004000000}"/>
    <cellStyle name="Millares [0] 4" xfId="16" xr:uid="{00000000-0005-0000-0000-000005000000}"/>
    <cellStyle name="Millares 2" xfId="5" xr:uid="{00000000-0005-0000-0000-000006000000}"/>
    <cellStyle name="Millares 3" xfId="10" xr:uid="{00000000-0005-0000-0000-000007000000}"/>
    <cellStyle name="Millares 3 2" xfId="15" xr:uid="{00000000-0005-0000-0000-000008000000}"/>
    <cellStyle name="Millares 3 2 2" xfId="25" xr:uid="{00000000-0005-0000-0000-000009000000}"/>
    <cellStyle name="Millares 4" xfId="14" xr:uid="{00000000-0005-0000-0000-00000A000000}"/>
    <cellStyle name="Millares 5" xfId="20" xr:uid="{00000000-0005-0000-0000-00000B000000}"/>
    <cellStyle name="Moneda 2" xfId="8" xr:uid="{00000000-0005-0000-0000-00000C000000}"/>
    <cellStyle name="Normal" xfId="0" builtinId="0"/>
    <cellStyle name="Normal 2" xfId="4" xr:uid="{00000000-0005-0000-0000-00000E000000}"/>
    <cellStyle name="Normal 2 2" xfId="19" xr:uid="{00000000-0005-0000-0000-00000F000000}"/>
    <cellStyle name="Normal 3" xfId="22" xr:uid="{00000000-0005-0000-0000-000010000000}"/>
    <cellStyle name="Normal 4" xfId="23" xr:uid="{00000000-0005-0000-0000-000011000000}"/>
    <cellStyle name="Porcentaje" xfId="2" xr:uid="{00000000-0005-0000-0000-000012000000}"/>
    <cellStyle name="Porcentaje 2" xfId="1" xr:uid="{00000000-0005-0000-0000-000013000000}"/>
    <cellStyle name="Porcentaje 2 2" xfId="18" xr:uid="{00000000-0005-0000-0000-000014000000}"/>
    <cellStyle name="Porcentaje 2 3" xfId="24" xr:uid="{00000000-0005-0000-0000-000015000000}"/>
    <cellStyle name="Porcentaje 3" xfId="7" xr:uid="{00000000-0005-0000-0000-000016000000}"/>
    <cellStyle name="Porcentaje 4" xfId="11" xr:uid="{00000000-0005-0000-0000-000017000000}"/>
    <cellStyle name="Porcentaje 4 2" xfId="13" xr:uid="{00000000-0005-0000-0000-000018000000}"/>
    <cellStyle name="Porcentaje 4 2 2" xfId="26" xr:uid="{00000000-0005-0000-0000-000019000000}"/>
    <cellStyle name="Porcentual 2" xfId="17" xr:uid="{00000000-0005-0000-0000-00001A000000}"/>
  </cellStyles>
  <dxfs count="101"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1" formatCode="hh:mm:ss\ AM/PM"/>
    </dxf>
    <dxf>
      <numFmt numFmtId="171" formatCode="hh:mm:ss\ AM/PM"/>
    </dxf>
    <dxf>
      <numFmt numFmtId="172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0\°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: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: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rgb="FF000000"/>
        </right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3" defaultTableStyle="TableStyleMedium2" defaultPivotStyle="Estilo de tabla dinámica 2">
    <tableStyle name="Estilo de tabla dinámica 1" table="0" count="0" xr9:uid="{00000000-0011-0000-FFFF-FFFF00000000}"/>
    <tableStyle name="Estilo de tabla dinámica 2" table="0" count="0" xr9:uid="{00000000-0011-0000-FFFF-FFFF01000000}"/>
    <tableStyle name="Invisible" pivot="0" table="0" count="0" xr9:uid="{00000000-0011-0000-FFFF-FFFF02000000}"/>
  </tableStyles>
  <colors>
    <mruColors>
      <color rgb="FF00FF00"/>
      <color rgb="FFCCFFCC"/>
      <color rgb="FF00FFFF"/>
      <color rgb="FF0099CC"/>
      <color rgb="FFFF9933"/>
      <color rgb="FF0066FF"/>
      <color rgb="FFFF3300"/>
      <color rgb="FFDDDDDD"/>
      <color rgb="FF0000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chartsheet" Target="chartsheets/sheet2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calcChain" Target="calcChain.xml"/><Relationship Id="rId5" Type="http://schemas.openxmlformats.org/officeDocument/2006/relationships/worksheet" Target="worksheets/sheet3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AUT!#REF!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AUT!#REF!</c15:sqref>
                        </c15:formulaRef>
                      </c:ext>
                    </c:extLst>
                    <c:strCache>
                      <c:ptCount val="2"/>
                      <c:pt idx="0">
                        <c:v>Jessica L. </c:v>
                      </c:pt>
                      <c:pt idx="1">
                        <c:v>Alejandro D.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E1A-44AB-A30D-ECB5CEBD1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818240"/>
        <c:axId val="148339456"/>
      </c:barChart>
      <c:catAx>
        <c:axId val="175818240"/>
        <c:scaling>
          <c:orientation val="minMax"/>
        </c:scaling>
        <c:delete val="0"/>
        <c:axPos val="b"/>
        <c:majorTickMark val="out"/>
        <c:minorTickMark val="none"/>
        <c:tickLblPos val="nextTo"/>
        <c:crossAx val="148339456"/>
        <c:crosses val="autoZero"/>
        <c:auto val="1"/>
        <c:lblAlgn val="ctr"/>
        <c:lblOffset val="100"/>
        <c:noMultiLvlLbl val="0"/>
      </c:catAx>
      <c:valAx>
        <c:axId val="148339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818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#¡REF!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626-4480-82DC-0114FFC008F9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#¡REF!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626-4480-82DC-0114FFC00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058048"/>
        <c:axId val="147375808"/>
      </c:barChart>
      <c:catAx>
        <c:axId val="245058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47375808"/>
        <c:crosses val="autoZero"/>
        <c:auto val="1"/>
        <c:lblAlgn val="ctr"/>
        <c:lblOffset val="100"/>
        <c:noMultiLvlLbl val="0"/>
      </c:catAx>
      <c:valAx>
        <c:axId val="14737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058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/>
  <sheetViews>
    <sheetView zoomScale="6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Gráfico1"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5077" cy="6301154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ROCESO4" displayName="PROCESO4" ref="A1:AV2" totalsRowShown="0" headerRowDxfId="100" tableBorderDxfId="99">
  <autoFilter ref="A1:AV2" xr:uid="{00000000-0009-0000-0100-000003000000}"/>
  <tableColumns count="48">
    <tableColumn id="113" xr3:uid="{00000000-0010-0000-0000-000071000000}" name="Lote" dataDxfId="98" totalsRowDxfId="97"/>
    <tableColumn id="2" xr3:uid="{00000000-0010-0000-0000-000002000000}" name="Fecha" dataDxfId="96" totalsRowDxfId="95"/>
    <tableColumn id="3" xr3:uid="{00000000-0010-0000-0000-000003000000}" name="Hora" dataDxfId="94" totalsRowDxfId="93"/>
    <tableColumn id="5" xr3:uid="{00000000-0010-0000-0000-000005000000}" name="Cod_Producto" dataDxfId="92" totalsRowDxfId="91"/>
    <tableColumn id="6" xr3:uid="{00000000-0010-0000-0000-000006000000}" name="Tipo_Producto" dataDxfId="90" totalsRowDxfId="89"/>
    <tableColumn id="7" xr3:uid="{00000000-0010-0000-0000-000007000000}" name="Medida" dataDxfId="88" totalsRowDxfId="87"/>
    <tableColumn id="1" xr3:uid="{43271A5E-2CE3-4A9A-AC62-9A7A887D0CCE}" name="Proceso" dataDxfId="36" totalsRowDxfId="37"/>
    <tableColumn id="8" xr3:uid="{00000000-0010-0000-0000-000008000000}" name="Maq" dataDxfId="35" totalsRowDxfId="86"/>
    <tableColumn id="20" xr3:uid="{00000000-0010-0000-0000-000014000000}" name="PP_Hidro_Cemento_Kg" dataDxfId="34" totalsRowDxfId="85"/>
    <tableColumn id="21" xr3:uid="{00000000-0010-0000-0000-000015000000}" name="PP_Hidro_Carbonato_Kg" dataDxfId="33" totalsRowDxfId="84"/>
    <tableColumn id="22" xr3:uid="{00000000-0010-0000-0000-000016000000}" name="PP_Hidro_Silice_Kg" dataDxfId="32" totalsRowDxfId="83"/>
    <tableColumn id="24" xr3:uid="{00000000-0010-0000-0000-000018000000}" name="PP_Hidro_Celulosa_Kg" dataDxfId="31" totalsRowDxfId="82"/>
    <tableColumn id="27" xr3:uid="{00000000-0010-0000-0000-00001B000000}" name="PP_Hidro_Hidroxido_Kg" dataDxfId="30" totalsRowDxfId="81"/>
    <tableColumn id="12" xr3:uid="{38D0ACE5-9732-4904-ACEB-FDCC94D9193E}" name="PP_Hidro_SolReales__%" dataDxfId="29" totalsRowDxfId="80"/>
    <tableColumn id="13" xr3:uid="{3F9B46CE-E8FC-4DEF-B012-6162A8C76A44}" name="PP_Hidro_CelulosaS_%" dataDxfId="28" totalsRowDxfId="79"/>
    <tableColumn id="34" xr3:uid="{00000000-0010-0000-0000-000022000000}" name="PP_Refi_EE_AMP" dataDxfId="27" totalsRowDxfId="78"/>
    <tableColumn id="16" xr3:uid="{F93A156D-40FA-479A-9E3A-0220D9E46075}" name="PP_Refi_CelulosaH_%" dataDxfId="26" totalsRowDxfId="77"/>
    <tableColumn id="15" xr3:uid="{C2FD38F4-6B31-4755-B104-972E51104425}" name="PP_Refi_CelulosaS_%" dataDxfId="25" totalsRowDxfId="76"/>
    <tableColumn id="14" xr3:uid="{FFB749DC-CA95-47A5-9C42-9B48D3162DE6}" name="PP_Refi_CelulosaSR_SR_%" dataDxfId="24" totalsRowDxfId="75"/>
    <tableColumn id="17" xr3:uid="{DD096A85-2FE4-4085-97BD-8FFC447D7A67}" name="PP_Maq_FlujoFloc_L_min" dataDxfId="23" totalsRowDxfId="74"/>
    <tableColumn id="45" xr3:uid="{00000000-0010-0000-0000-00002D000000}" name="PP_Maq_Resi_ml" dataDxfId="22" totalsRowDxfId="73" dataCellStyle="Porcentaje"/>
    <tableColumn id="46" xr3:uid="{00000000-0010-0000-0000-00002E000000}" name="PP_Maq_Vueltas_N" dataDxfId="21" totalsRowDxfId="72"/>
    <tableColumn id="18" xr3:uid="{1D470C21-87D6-43C8-BFEA-2DCD5E7E036C}" name="PP_Maq_Vel_m_min" dataDxfId="20" totalsRowDxfId="71"/>
    <tableColumn id="48" xr3:uid="{00000000-0010-0000-0000-000030000000}" name="PP_Maq_FormatoP_PSI" dataDxfId="19" totalsRowDxfId="70"/>
    <tableColumn id="19" xr3:uid="{B3A199F9-1370-4345-9064-A75CAE0BE28A}" name="PP_Maq_FlujoFlocForm_L_Placa" dataDxfId="18" totalsRowDxfId="69"/>
    <tableColumn id="51" xr3:uid="{00000000-0010-0000-0000-000033000000}" name="PP_Maq_VacíoCP_PulgadasHg" dataDxfId="17" totalsRowDxfId="68"/>
    <tableColumn id="52" xr3:uid="{00000000-0010-0000-0000-000034000000}" name="PP_Maq_VacioSF_PulgadasHg" dataDxfId="16" totalsRowDxfId="67"/>
    <tableColumn id="23" xr3:uid="{03594680-D4B9-4F5B-9150-A7A0BE6DFA4F}" name="PP_Maq_Recir__%" dataDxfId="15" totalsRowDxfId="66"/>
    <tableColumn id="63" xr3:uid="{00000000-0010-0000-0000-00003F000000}" name="PP_Maq_Fieltro_Dias" dataDxfId="14" totalsRowDxfId="65"/>
    <tableColumn id="73" xr3:uid="{00000000-0010-0000-0000-000049000000}" name="PP_PF_Humedad__%" dataDxfId="13" totalsRowDxfId="64"/>
    <tableColumn id="74" xr3:uid="{00000000-0010-0000-0000-00004A000000}" name="PP_PF_Espesor_mm" dataDxfId="12" totalsRowDxfId="63" dataCellStyle="Porcentaje 2"/>
    <tableColumn id="25" xr3:uid="{C600AA1B-8980-4476-A30F-9CF41FC4C072}" name="PP_PF_Dens_g_cm3" dataDxfId="11" totalsRowDxfId="62" dataCellStyle="Porcentaje 2"/>
    <tableColumn id="77" xr3:uid="{00000000-0010-0000-0000-00004D000000}" name="PP_Maq_FlocCanalS_%" dataDxfId="10" totalsRowDxfId="61" dataCellStyle="Porcentaje"/>
    <tableColumn id="78" xr3:uid="{00000000-0010-0000-0000-00004E000000}" name="PP_Maq_FlocTkS_%" dataDxfId="9" totalsRowDxfId="60" dataCellStyle="Porcentaje"/>
    <tableColumn id="79" xr3:uid="{00000000-0010-0000-0000-00004F000000}" name="PP_Maq_FlocFormS_%" dataDxfId="8" totalsRowDxfId="59" dataCellStyle="Porcentaje"/>
    <tableColumn id="26" xr3:uid="{C42217A3-EDAC-4F4C-873A-E13F35180A6D}" name="PP_MaqTCE_Densidad_g_cm3" dataDxfId="7" totalsRowDxfId="58" dataCellStyle="Porcentaje"/>
    <tableColumn id="29" xr3:uid="{741E111B-AB41-4319-B46F-56B8B55D93E9}" name="PP_Maq_TCES__%" dataDxfId="6" totalsRowDxfId="57" dataCellStyle="Porcentaje"/>
    <tableColumn id="30" xr3:uid="{4B0280F9-87F0-400D-BE91-B5FC5ABF6121}" name="PP_Maq_CilinS__%" dataDxfId="5" totalsRowDxfId="56" dataCellStyle="Porcentaje"/>
    <tableColumn id="31" xr3:uid="{1C84312D-0AA1-491F-A05A-881582F8E130}" name="PP_Maq_Cono1S__%" dataDxfId="4" totalsRowDxfId="55" dataCellStyle="Porcentaje"/>
    <tableColumn id="32" xr3:uid="{9F6C2CB9-19BE-4C2F-847C-55ED357BE577}" name="PP_Maq_MolinoS__%" dataDxfId="3" totalsRowDxfId="54" dataCellStyle="Porcentaje"/>
    <tableColumn id="80" xr3:uid="{00000000-0010-0000-0000-000050000000}" name="PP_Maq_P1H_%" dataDxfId="2" totalsRowDxfId="53"/>
    <tableColumn id="81" xr3:uid="{00000000-0010-0000-0000-000051000000}" name="PP_Maq_P3H_%" dataDxfId="0" totalsRowDxfId="52"/>
    <tableColumn id="87" xr3:uid="{00000000-0010-0000-0000-000057000000}" name="PP_MaqCil1_Sol_%" dataDxfId="1" totalsRowDxfId="51" dataCellStyle="Porcentaje 2"/>
    <tableColumn id="88" xr3:uid="{00000000-0010-0000-0000-000058000000}" name="PP_MaqCil2_Sol_%" dataDxfId="50" totalsRowDxfId="49" dataCellStyle="Porcentaje 2"/>
    <tableColumn id="89" xr3:uid="{00000000-0010-0000-0000-000059000000}" name="PP_MaqCil3_Sol_%" dataDxfId="48" totalsRowDxfId="47" dataCellStyle="Porcentaje 2"/>
    <tableColumn id="90" xr3:uid="{00000000-0010-0000-0000-00005A000000}" name="PP_MaqCil4_Sol_%" dataDxfId="46" totalsRowDxfId="45" dataCellStyle="Porcentaje 2"/>
    <tableColumn id="91" xr3:uid="{00000000-0010-0000-0000-00005B000000}" name="PP_Maq_CilinS_%" dataDxfId="44" totalsRowDxfId="43"/>
    <tableColumn id="92" xr3:uid="{00000000-0010-0000-0000-00005C000000}" name="PP_Maq_CanalS_%" dataDxfId="42" totalsRowDxfId="41" dataCellStyle="Porcentaje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1:AM3" totalsRowShown="0">
  <autoFilter ref="A1:AM3" xr:uid="{00000000-0009-0000-0100-000001000000}"/>
  <tableColumns count="39">
    <tableColumn id="1" xr3:uid="{00000000-0010-0000-0100-000001000000}" name="Muestra"/>
    <tableColumn id="2" xr3:uid="{00000000-0010-0000-0100-000002000000}" name=" Humedad Celulosa (%)"/>
    <tableColumn id="3" xr3:uid="{00000000-0010-0000-0100-000003000000}" name="% consistencia Refinador"/>
    <tableColumn id="4" xr3:uid="{00000000-0010-0000-0100-000004000000}" name="shopper Refinador"/>
    <tableColumn id="5" xr3:uid="{00000000-0010-0000-0100-000005000000}" name="% consistencia hidro"/>
    <tableColumn id="6" xr3:uid="{00000000-0010-0000-0100-000006000000}" name="shopper Hidro"/>
    <tableColumn id="7" xr3:uid="{00000000-0010-0000-0100-000007000000}" name="sapp"/>
    <tableColumn id="8" xr3:uid="{00000000-0010-0000-0100-000008000000}" name="canal"/>
    <tableColumn id="9" xr3:uid="{00000000-0010-0000-0100-000009000000}" name="MQ"/>
    <tableColumn id="10" xr3:uid="{00000000-0010-0000-0100-00000A000000}" name="formato"/>
    <tableColumn id="11" xr3:uid="{00000000-0010-0000-0100-00000B000000}" name="% humedad P1"/>
    <tableColumn id="12" xr3:uid="{00000000-0010-0000-0100-00000C000000}" name="% humedad P3"/>
    <tableColumn id="13" xr3:uid="{00000000-0010-0000-0100-00000D000000}" name="% humedad P4"/>
    <tableColumn id="14" xr3:uid="{00000000-0010-0000-0100-00000E000000}" name="espesor"/>
    <tableColumn id="15" xr3:uid="{00000000-0010-0000-0100-00000F000000}" name="densidad"/>
    <tableColumn id="16" xr3:uid="{00000000-0010-0000-0100-000010000000}" name="Densidad TCE"/>
    <tableColumn id="17" xr3:uid="{00000000-0010-0000-0100-000011000000}" name="TCE"/>
    <tableColumn id="18" xr3:uid="{00000000-0010-0000-0100-000012000000}" name="TK 1"/>
    <tableColumn id="19" xr3:uid="{00000000-0010-0000-0100-000013000000}" name="TK 2"/>
    <tableColumn id="20" xr3:uid="{00000000-0010-0000-0100-000014000000}" name="TK 3"/>
    <tableColumn id="21" xr3:uid="{00000000-0010-0000-0100-000015000000}" name="TK 4"/>
    <tableColumn id="22" xr3:uid="{00000000-0010-0000-0100-000016000000}" name="PROMEDIO"/>
    <tableColumn id="23" xr3:uid="{00000000-0010-0000-0100-000017000000}" name="CANAL2"/>
    <tableColumn id="24" xr3:uid="{00000000-0010-0000-0100-000018000000}" name="CON 1"/>
    <tableColumn id="25" xr3:uid="{00000000-0010-0000-0100-000019000000}" name="CONO 2"/>
    <tableColumn id="26" xr3:uid="{00000000-0010-0000-0100-00001A000000}" name="HIDRO"/>
    <tableColumn id="27" xr3:uid="{00000000-0010-0000-0100-00001B000000}" name="TNC"/>
    <tableColumn id="28" xr3:uid="{00000000-0010-0000-0100-00001C000000}" name="MOLINO"/>
    <tableColumn id="29" xr3:uid="{00000000-0010-0000-0100-00001D000000}" name="Densidad Polvo"/>
    <tableColumn id="30" xr3:uid="{00000000-0010-0000-0100-00001E000000}" name="HUMEDAD POLVO"/>
    <tableColumn id="31" xr3:uid="{00000000-0010-0000-0100-00001F000000}" name="Densidad SAPP"/>
    <tableColumn id="32" xr3:uid="{00000000-0010-0000-0100-000020000000}" name="VISCOSIDAD SAPP"/>
    <tableColumn id="33" xr3:uid="{00000000-0010-0000-0100-000021000000}" name="Densidad CANAL"/>
    <tableColumn id="34" xr3:uid="{00000000-0010-0000-0100-000022000000}" name="VISCOSIDAD CANAL"/>
    <tableColumn id="35" xr3:uid="{00000000-0010-0000-0100-000023000000}" name="Densidad FORMATO"/>
    <tableColumn id="36" xr3:uid="{00000000-0010-0000-0100-000024000000}" name="VISCOSIDAD FORMATO"/>
    <tableColumn id="37" xr3:uid="{00000000-0010-0000-0100-000025000000}" name="Lote Flopam"/>
    <tableColumn id="38" xr3:uid="{00000000-0010-0000-0100-000026000000}" name="PH"/>
    <tableColumn id="39" xr3:uid="{00000000-0010-0000-0100-000027000000}" name="TIEMPO DE COCHA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2" displayName="Tabla2" ref="A1:DA58" totalsRowShown="0">
  <autoFilter ref="A1:DA58" xr:uid="{00000000-0009-0000-0100-000002000000}"/>
  <tableColumns count="105">
    <tableColumn id="1" xr3:uid="{00000000-0010-0000-0200-000001000000}" name="Semana"/>
    <tableColumn id="2" xr3:uid="{00000000-0010-0000-0200-000002000000}" name="Fecha" dataDxfId="40"/>
    <tableColumn id="3" xr3:uid="{00000000-0010-0000-0200-000003000000}" name="Hora" dataDxfId="39"/>
    <tableColumn id="4" xr3:uid="{00000000-0010-0000-0200-000004000000}" name="Codigo Produccion"/>
    <tableColumn id="5" xr3:uid="{00000000-0010-0000-0200-000005000000}" name="Producción"/>
    <tableColumn id="6" xr3:uid="{00000000-0010-0000-0200-000006000000}" name="Medida"/>
    <tableColumn id="7" xr3:uid="{00000000-0010-0000-0200-000007000000}" name="Maquina"/>
    <tableColumn id="8" xr3:uid="{00000000-0010-0000-0200-000008000000}" name="Carro"/>
    <tableColumn id="9" xr3:uid="{00000000-0010-0000-0200-000009000000}" name="Muestra"/>
    <tableColumn id="10" xr3:uid="{00000000-0010-0000-0200-00000A000000}" name="Celulosa Origen "/>
    <tableColumn id="11" xr3:uid="{00000000-0010-0000-0200-00000B000000}" name="Celulosa Lote"/>
    <tableColumn id="12" xr3:uid="{00000000-0010-0000-0200-00000C000000}" name="Carton Origen "/>
    <tableColumn id="13" xr3:uid="{00000000-0010-0000-0200-00000D000000}" name="PVA Proveedor"/>
    <tableColumn id="14" xr3:uid="{00000000-0010-0000-0200-00000E000000}" name="Silres Proveedor"/>
    <tableColumn id="15" xr3:uid="{00000000-0010-0000-0200-00000F000000}" name="Silres Lote"/>
    <tableColumn id="16" xr3:uid="{00000000-0010-0000-0200-000010000000}" name="Sílice Proveedor"/>
    <tableColumn id="17" xr3:uid="{00000000-0010-0000-0200-000011000000}" name="Cemento"/>
    <tableColumn id="18" xr3:uid="{00000000-0010-0000-0200-000012000000}" name="Carbonato"/>
    <tableColumn id="19" xr3:uid="{00000000-0010-0000-0200-000013000000}" name="Silice"/>
    <tableColumn id="20" xr3:uid="{00000000-0010-0000-0200-000014000000}" name="Retal Molido"/>
    <tableColumn id="21" xr3:uid="{00000000-0010-0000-0200-000015000000}" name="Celulosa Seca"/>
    <tableColumn id="22" xr3:uid="{00000000-0010-0000-0200-000016000000}" name="Carton Seco"/>
    <tableColumn id="23" xr3:uid="{00000000-0010-0000-0200-000017000000}" name="Pva"/>
    <tableColumn id="24" xr3:uid="{00000000-0010-0000-0200-000018000000}" name="Hidroxido"/>
    <tableColumn id="25" xr3:uid="{00000000-0010-0000-0200-000019000000}" name="Bentonita"/>
    <tableColumn id="26" xr3:uid="{00000000-0010-0000-0200-00001A000000}" name="Agua"/>
    <tableColumn id="27" xr3:uid="{00000000-0010-0000-0200-00001B000000}" name="Total KG / Cochada"/>
    <tableColumn id="28" xr3:uid="{00000000-0010-0000-0200-00001C000000}" name="%S teorico Hidro"/>
    <tableColumn id="29" xr3:uid="{00000000-0010-0000-0200-00001D000000}" name="%S Hidro"/>
    <tableColumn id="30" xr3:uid="{00000000-0010-0000-0200-00001E000000}" name="Refinador "/>
    <tableColumn id="31" xr3:uid="{00000000-0010-0000-0200-00001F000000}" name="Energia Especifica Refinacion"/>
    <tableColumn id="32" xr3:uid="{00000000-0010-0000-0200-000020000000}" name="Ciclos refinacion"/>
    <tableColumn id="33" xr3:uid="{00000000-0010-0000-0200-000021000000}" name="Flujo floculante Tk 1 (L/min)"/>
    <tableColumn id="34" xr3:uid="{00000000-0010-0000-0200-000022000000}" name="Flujo floculnte Tk 2 (L/min)"/>
    <tableColumn id="35" xr3:uid="{00000000-0010-0000-0200-000023000000}" name="Flujo floculante Tk 3 (L/min)"/>
    <tableColumn id="36" xr3:uid="{00000000-0010-0000-0200-000024000000}" name="Flujo floculante Tk 4 (L/min)"/>
    <tableColumn id="37" xr3:uid="{00000000-0010-0000-0200-000025000000}" name="PROMEDIO Flujo Floculante Tanques (L/Min)"/>
    <tableColumn id="38" xr3:uid="{00000000-0010-0000-0200-000026000000}" name="Residuales TK 1"/>
    <tableColumn id="39" xr3:uid="{00000000-0010-0000-0200-000027000000}" name="Residuales TK 2"/>
    <tableColumn id="40" xr3:uid="{00000000-0010-0000-0200-000028000000}" name="Residuales TK 3"/>
    <tableColumn id="41" xr3:uid="{00000000-0010-0000-0200-000029000000}" name="Residuales TK 4"/>
    <tableColumn id="42" xr3:uid="{00000000-0010-0000-0200-00002A000000}" name="PROMEDIO Residuales tanques (ml)"/>
    <tableColumn id="43" xr3:uid="{00000000-0010-0000-0200-00002B000000}" name="Vueltas"/>
    <tableColumn id="44" xr3:uid="{00000000-0010-0000-0200-00002C000000}" name="Velocidad (m/min)"/>
    <tableColumn id="45" xr3:uid="{00000000-0010-0000-0200-00002D000000}" name="Presion formato (Bar)"/>
    <tableColumn id="46" xr3:uid="{00000000-0010-0000-0200-00002E000000}" name="Flujo floculante  Formato (L/placa)"/>
    <tableColumn id="47" xr3:uid="{00000000-0010-0000-0200-00002F000000}" name="Vacío Camara  Walker (Pulgadas Hg)"/>
    <tableColumn id="48" xr3:uid="{00000000-0010-0000-0200-000030000000}" name="Vacío Camara Principal (Pulgadas Hg)"/>
    <tableColumn id="49" xr3:uid="{00000000-0010-0000-0200-000031000000}" name="Vacio Secado fieltro  (Pulgadas Hg)"/>
    <tableColumn id="50" xr3:uid="{00000000-0010-0000-0200-000032000000}" name="Recirculación (%)"/>
    <tableColumn id="51" xr3:uid="{00000000-0010-0000-0200-000033000000}" name="Delta Banda # 1  (m/min)"/>
    <tableColumn id="52" xr3:uid="{00000000-0010-0000-0200-000034000000}" name="Delta Banda 2 (m/min)"/>
    <tableColumn id="53" xr3:uid="{00000000-0010-0000-0200-000035000000}" name="Velocidad Banda 1 (m/min)"/>
    <tableColumn id="54" xr3:uid="{00000000-0010-0000-0200-000036000000}" name="Velocidad Banda 2 (m/min)"/>
    <tableColumn id="55" xr3:uid="{00000000-0010-0000-0200-000037000000}" name="Velocidad De  Posicionamiento (m/min)"/>
    <tableColumn id="56" xr3:uid="{00000000-0010-0000-0200-000038000000}" name="Tiempo  Desmoldeo (dia/hora/minuto)" dataDxfId="38"/>
    <tableColumn id="57" xr3:uid="{00000000-0010-0000-0200-000039000000}" name="Carro #"/>
    <tableColumn id="58" xr3:uid="{00000000-0010-0000-0200-00003A000000}" name="Jefe De Turno"/>
    <tableColumn id="59" xr3:uid="{00000000-0010-0000-0200-00003B000000}" name="Observaciones"/>
    <tableColumn id="60" xr3:uid="{00000000-0010-0000-0200-00003C000000}" name="DIAS FIELTRO"/>
    <tableColumn id="61" xr3:uid="{00000000-0010-0000-0200-00003D000000}" name="PROVEEDOR FIELTRO"/>
    <tableColumn id="62" xr3:uid="{00000000-0010-0000-0200-00003E000000}" name="DILIGENCIÓ"/>
    <tableColumn id="63" xr3:uid="{00000000-0010-0000-0200-00003F000000}" name="Largo Placa fresca"/>
    <tableColumn id="64" xr3:uid="{00000000-0010-0000-0200-000040000000}" name="Ancho Placa Fresca"/>
    <tableColumn id="65" xr3:uid="{00000000-0010-0000-0200-000041000000}" name="Cuadratura Placa Fresca"/>
    <tableColumn id="66" xr3:uid="{00000000-0010-0000-0200-000042000000}" name="Diagonal placa fresca"/>
    <tableColumn id="67" xr3:uid="{00000000-0010-0000-0200-000043000000}" name="Verificacion Silres (g)"/>
    <tableColumn id="68" xr3:uid="{00000000-0010-0000-0200-000044000000}" name=" Humedad Celulosa (%)"/>
    <tableColumn id="69" xr3:uid="{00000000-0010-0000-0200-000045000000}" name="% consistencia Refinador"/>
    <tableColumn id="70" xr3:uid="{00000000-0010-0000-0200-000046000000}" name="shopper Refinador"/>
    <tableColumn id="71" xr3:uid="{00000000-0010-0000-0200-000047000000}" name="% consistencia Hidro"/>
    <tableColumn id="72" xr3:uid="{00000000-0010-0000-0200-000048000000}" name="°shopper Hidro"/>
    <tableColumn id="73" xr3:uid="{00000000-0010-0000-0200-000049000000}" name="%S Floc SAPP"/>
    <tableColumn id="74" xr3:uid="{00000000-0010-0000-0200-00004A000000}" name="%S Floc canal"/>
    <tableColumn id="75" xr3:uid="{00000000-0010-0000-0200-00004B000000}" name="%S Floc Maq"/>
    <tableColumn id="76" xr3:uid="{00000000-0010-0000-0200-00004C000000}" name="%S Floc Formato"/>
    <tableColumn id="77" xr3:uid="{00000000-0010-0000-0200-00004D000000}" name="% humedad P1"/>
    <tableColumn id="78" xr3:uid="{00000000-0010-0000-0200-00004E000000}" name="% humedad P3"/>
    <tableColumn id="79" xr3:uid="{00000000-0010-0000-0200-00004F000000}" name="%H Punto 4"/>
    <tableColumn id="80" xr3:uid="{00000000-0010-0000-0200-000050000000}" name="Espesor PF"/>
    <tableColumn id="81" xr3:uid="{00000000-0010-0000-0200-000051000000}" name="Densidad PF"/>
    <tableColumn id="82" xr3:uid="{00000000-0010-0000-0200-000052000000}" name="Densidad TCE"/>
    <tableColumn id="83" xr3:uid="{00000000-0010-0000-0200-000053000000}" name="%S TCE"/>
    <tableColumn id="84" xr3:uid="{00000000-0010-0000-0200-000054000000}" name="% Cil.1"/>
    <tableColumn id="85" xr3:uid="{00000000-0010-0000-0200-000055000000}" name="% Cil.2"/>
    <tableColumn id="86" xr3:uid="{00000000-0010-0000-0200-000056000000}" name="% Cil.3"/>
    <tableColumn id="87" xr3:uid="{00000000-0010-0000-0200-000057000000}" name="% Cil.4"/>
    <tableColumn id="88" xr3:uid="{00000000-0010-0000-0200-000058000000}" name="%S Prom Cil"/>
    <tableColumn id="89" xr3:uid="{00000000-0010-0000-0200-000059000000}" name="%S canal"/>
    <tableColumn id="90" xr3:uid="{00000000-0010-0000-0200-00005A000000}" name="%S Cono1"/>
    <tableColumn id="91" xr3:uid="{00000000-0010-0000-0200-00005B000000}" name="% Cono2"/>
    <tableColumn id="92" xr3:uid="{00000000-0010-0000-0200-00005C000000}" name="%S hidro2"/>
    <tableColumn id="93" xr3:uid="{00000000-0010-0000-0200-00005D000000}" name="%S Noria"/>
    <tableColumn id="94" xr3:uid="{00000000-0010-0000-0200-00005E000000}" name="% Molino"/>
    <tableColumn id="95" xr3:uid="{00000000-0010-0000-0200-00005F000000}" name="Dens floc SAPP Polvo"/>
    <tableColumn id="96" xr3:uid="{00000000-0010-0000-0200-000060000000}" name="Humedad Floc SAPP"/>
    <tableColumn id="97" xr3:uid="{00000000-0010-0000-0200-000061000000}" name="Dens floc  SAPP Liq"/>
    <tableColumn id="98" xr3:uid="{00000000-0010-0000-0200-000062000000}" name="Viscosid Floc SAPP"/>
    <tableColumn id="99" xr3:uid="{00000000-0010-0000-0200-000063000000}" name="Densidad floc canal"/>
    <tableColumn id="100" xr3:uid="{00000000-0010-0000-0200-000064000000}" name="Viscosidad floc canal"/>
    <tableColumn id="101" xr3:uid="{00000000-0010-0000-0200-000065000000}" name="Densidad floc Formato"/>
    <tableColumn id="102" xr3:uid="{00000000-0010-0000-0200-000066000000}" name="Viscosid Floc Formato"/>
    <tableColumn id="103" xr3:uid="{00000000-0010-0000-0200-000067000000}" name="Lote flocualante sapp"/>
    <tableColumn id="104" xr3:uid="{00000000-0010-0000-0200-000068000000}" name="Ph agua preparacion floculante sapp"/>
    <tableColumn id="105" xr3:uid="{00000000-0010-0000-0200-000069000000}" name="Tiempo De Cochada (min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FFFF"/>
  </sheetPr>
  <dimension ref="A1:AZ2"/>
  <sheetViews>
    <sheetView tabSelected="1" topLeftCell="AK1" zoomScaleNormal="100" workbookViewId="0">
      <selection activeCell="AP5" sqref="AP5"/>
    </sheetView>
  </sheetViews>
  <sheetFormatPr baseColWidth="10" defaultColWidth="29.7109375" defaultRowHeight="15" x14ac:dyDescent="0.25"/>
  <cols>
    <col min="1" max="1" width="13.28515625" style="148" customWidth="1"/>
    <col min="2" max="2" width="11.5703125" style="150" bestFit="1" customWidth="1"/>
    <col min="3" max="3" width="8" style="147" customWidth="1"/>
    <col min="4" max="4" width="17.42578125" style="147" customWidth="1"/>
    <col min="5" max="5" width="18" style="142" customWidth="1"/>
    <col min="6" max="7" width="10.7109375" style="142" customWidth="1"/>
    <col min="8" max="8" width="14" style="142" customWidth="1"/>
    <col min="9" max="9" width="26.28515625" style="147" bestFit="1" customWidth="1"/>
    <col min="10" max="10" width="27.28515625" style="147" bestFit="1" customWidth="1"/>
    <col min="11" max="11" width="22.85546875" style="147" bestFit="1" customWidth="1"/>
    <col min="12" max="12" width="25.5703125" style="147" bestFit="1" customWidth="1"/>
    <col min="13" max="13" width="26.85546875" style="147" bestFit="1" customWidth="1"/>
    <col min="14" max="15" width="26.85546875" style="147" customWidth="1"/>
    <col min="16" max="16" width="20.85546875" style="148" bestFit="1" customWidth="1"/>
    <col min="17" max="18" width="20.85546875" style="148" customWidth="1"/>
    <col min="19" max="20" width="25.85546875" style="148" customWidth="1"/>
    <col min="21" max="21" width="21" style="149" bestFit="1" customWidth="1"/>
    <col min="22" max="22" width="23.140625" style="147" bestFit="1" customWidth="1"/>
    <col min="23" max="23" width="23.140625" style="147" customWidth="1"/>
    <col min="24" max="24" width="26.42578125" style="147" bestFit="1" customWidth="1"/>
    <col min="25" max="25" width="30" style="147" customWidth="1"/>
    <col min="26" max="26" width="32.5703125" style="147" bestFit="1" customWidth="1"/>
    <col min="27" max="27" width="32.28515625" style="147" bestFit="1" customWidth="1"/>
    <col min="28" max="28" width="32.28515625" style="147" customWidth="1"/>
    <col min="29" max="29" width="24.5703125" style="147" bestFit="1" customWidth="1"/>
    <col min="30" max="30" width="28.5703125" style="147" customWidth="1"/>
    <col min="31" max="31" width="26.140625" style="147" bestFit="1" customWidth="1"/>
    <col min="32" max="32" width="26.140625" style="147" customWidth="1"/>
    <col min="33" max="33" width="26.140625" style="147" bestFit="1" customWidth="1"/>
    <col min="34" max="34" width="23.28515625" style="147" bestFit="1" customWidth="1"/>
    <col min="35" max="35" width="25.85546875" style="147" bestFit="1" customWidth="1"/>
    <col min="36" max="39" width="27.85546875" style="147" customWidth="1"/>
    <col min="40" max="40" width="29.28515625" style="147" customWidth="1"/>
    <col min="41" max="42" width="20.140625" style="147" bestFit="1" customWidth="1"/>
    <col min="43" max="46" width="22.5703125" style="142" hidden="1" customWidth="1"/>
    <col min="47" max="47" width="21.5703125" style="142" hidden="1" customWidth="1"/>
    <col min="48" max="48" width="22.42578125" style="142" hidden="1" customWidth="1"/>
    <col min="49" max="16384" width="29.7109375" style="147"/>
  </cols>
  <sheetData>
    <row r="1" spans="1:48" s="155" customFormat="1" ht="72.75" customHeight="1" x14ac:dyDescent="0.25">
      <c r="A1" s="152" t="s">
        <v>1</v>
      </c>
      <c r="B1" s="153" t="s">
        <v>2</v>
      </c>
      <c r="C1" s="154" t="s">
        <v>3</v>
      </c>
      <c r="D1" s="154" t="s">
        <v>4</v>
      </c>
      <c r="E1" s="154" t="s">
        <v>5</v>
      </c>
      <c r="F1" s="154" t="s">
        <v>6</v>
      </c>
      <c r="G1" s="154" t="s">
        <v>300</v>
      </c>
      <c r="H1" s="154" t="s">
        <v>7</v>
      </c>
      <c r="I1" s="156" t="s">
        <v>10</v>
      </c>
      <c r="J1" s="156" t="s">
        <v>11</v>
      </c>
      <c r="K1" s="156" t="s">
        <v>12</v>
      </c>
      <c r="L1" s="157" t="s">
        <v>13</v>
      </c>
      <c r="M1" s="156" t="s">
        <v>14</v>
      </c>
      <c r="N1" s="156" t="s">
        <v>287</v>
      </c>
      <c r="O1" s="156" t="s">
        <v>25</v>
      </c>
      <c r="P1" s="156" t="s">
        <v>15</v>
      </c>
      <c r="Q1" s="156" t="s">
        <v>23</v>
      </c>
      <c r="R1" s="156" t="s">
        <v>24</v>
      </c>
      <c r="S1" s="156" t="s">
        <v>288</v>
      </c>
      <c r="T1" s="156" t="s">
        <v>289</v>
      </c>
      <c r="U1" s="156" t="s">
        <v>16</v>
      </c>
      <c r="V1" s="156" t="s">
        <v>17</v>
      </c>
      <c r="W1" s="156" t="s">
        <v>290</v>
      </c>
      <c r="X1" s="156" t="s">
        <v>18</v>
      </c>
      <c r="Y1" s="156" t="s">
        <v>291</v>
      </c>
      <c r="Z1" s="156" t="s">
        <v>19</v>
      </c>
      <c r="AA1" s="156" t="s">
        <v>20</v>
      </c>
      <c r="AB1" s="156" t="s">
        <v>299</v>
      </c>
      <c r="AC1" s="156" t="s">
        <v>22</v>
      </c>
      <c r="AD1" s="157" t="s">
        <v>298</v>
      </c>
      <c r="AE1" s="157" t="s">
        <v>31</v>
      </c>
      <c r="AF1" s="157" t="s">
        <v>292</v>
      </c>
      <c r="AG1" s="156" t="s">
        <v>26</v>
      </c>
      <c r="AH1" s="156" t="s">
        <v>27</v>
      </c>
      <c r="AI1" s="156" t="s">
        <v>28</v>
      </c>
      <c r="AJ1" s="156" t="s">
        <v>293</v>
      </c>
      <c r="AK1" s="156" t="s">
        <v>297</v>
      </c>
      <c r="AL1" s="156" t="s">
        <v>296</v>
      </c>
      <c r="AM1" s="156" t="s">
        <v>295</v>
      </c>
      <c r="AN1" s="156" t="s">
        <v>294</v>
      </c>
      <c r="AO1" s="156" t="s">
        <v>29</v>
      </c>
      <c r="AP1" s="156" t="s">
        <v>30</v>
      </c>
      <c r="AQ1" s="156" t="s">
        <v>32</v>
      </c>
      <c r="AR1" s="156" t="s">
        <v>33</v>
      </c>
      <c r="AS1" s="156" t="s">
        <v>34</v>
      </c>
      <c r="AT1" s="156" t="s">
        <v>35</v>
      </c>
      <c r="AU1" s="156" t="s">
        <v>36</v>
      </c>
      <c r="AV1" s="156" t="s">
        <v>37</v>
      </c>
    </row>
    <row r="2" spans="1:48" ht="30" customHeight="1" x14ac:dyDescent="0.25">
      <c r="A2" s="146" t="s">
        <v>302</v>
      </c>
      <c r="B2" s="143">
        <v>44928</v>
      </c>
      <c r="C2" s="145">
        <v>0.9375</v>
      </c>
      <c r="D2" s="3">
        <v>5608</v>
      </c>
      <c r="E2" s="142" t="s">
        <v>41</v>
      </c>
      <c r="F2" s="144" t="s">
        <v>38</v>
      </c>
      <c r="G2" s="144" t="s">
        <v>301</v>
      </c>
      <c r="H2" s="142">
        <v>1</v>
      </c>
      <c r="I2" s="198">
        <v>439</v>
      </c>
      <c r="J2" s="198">
        <v>25</v>
      </c>
      <c r="K2" s="198">
        <v>527</v>
      </c>
      <c r="L2" s="198">
        <v>75.599999999999994</v>
      </c>
      <c r="M2" s="198">
        <v>40</v>
      </c>
      <c r="N2" s="198">
        <v>2</v>
      </c>
      <c r="O2" s="198">
        <v>0</v>
      </c>
      <c r="P2" s="199">
        <v>37</v>
      </c>
      <c r="Q2" s="199">
        <v>1</v>
      </c>
      <c r="R2" s="199">
        <v>4</v>
      </c>
      <c r="S2" s="199">
        <v>54</v>
      </c>
      <c r="T2" s="199">
        <v>5</v>
      </c>
      <c r="U2" s="200">
        <v>4</v>
      </c>
      <c r="V2" s="198">
        <v>4</v>
      </c>
      <c r="W2" s="198">
        <v>7</v>
      </c>
      <c r="X2" s="198">
        <v>2</v>
      </c>
      <c r="Y2" s="198">
        <v>1</v>
      </c>
      <c r="Z2" s="198">
        <v>12.2</v>
      </c>
      <c r="AA2" s="198">
        <v>6.2</v>
      </c>
      <c r="AB2" s="198">
        <v>5</v>
      </c>
      <c r="AC2" s="198">
        <v>8</v>
      </c>
      <c r="AD2" s="193">
        <v>20.203832999999999</v>
      </c>
      <c r="AE2" s="194">
        <v>4.0095560422058503</v>
      </c>
      <c r="AF2" s="194">
        <v>4</v>
      </c>
      <c r="AG2" s="195">
        <v>4</v>
      </c>
      <c r="AH2" s="195">
        <v>0.05</v>
      </c>
      <c r="AI2" s="195">
        <v>0.04</v>
      </c>
      <c r="AJ2" s="195">
        <v>0.04</v>
      </c>
      <c r="AK2" s="195">
        <v>0.05</v>
      </c>
      <c r="AL2" s="195">
        <v>0.05</v>
      </c>
      <c r="AM2" s="195">
        <v>0.04</v>
      </c>
      <c r="AN2" s="196">
        <v>4</v>
      </c>
      <c r="AO2" s="195">
        <v>0.52987267384916747</v>
      </c>
      <c r="AP2" s="197">
        <v>75</v>
      </c>
      <c r="AQ2" s="151" t="s">
        <v>40</v>
      </c>
      <c r="AR2" s="151" t="s">
        <v>40</v>
      </c>
      <c r="AS2" s="151" t="s">
        <v>40</v>
      </c>
      <c r="AT2" s="151" t="s">
        <v>40</v>
      </c>
      <c r="AU2" s="151" t="s">
        <v>40</v>
      </c>
      <c r="AV2" s="151" t="s">
        <v>40</v>
      </c>
    </row>
  </sheetData>
  <phoneticPr fontId="24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/>
  <dimension ref="A1:AM3"/>
  <sheetViews>
    <sheetView workbookViewId="0">
      <selection activeCell="C15" sqref="C15"/>
    </sheetView>
  </sheetViews>
  <sheetFormatPr baseColWidth="10" defaultColWidth="11.42578125" defaultRowHeight="15" x14ac:dyDescent="0.25"/>
  <cols>
    <col min="2" max="2" width="23.5703125" customWidth="1"/>
    <col min="3" max="3" width="25.140625" customWidth="1"/>
    <col min="4" max="4" width="19.5703125" customWidth="1"/>
    <col min="5" max="5" width="21.140625" customWidth="1"/>
    <col min="6" max="6" width="15.7109375" customWidth="1"/>
    <col min="11" max="13" width="16.140625" customWidth="1"/>
    <col min="16" max="16" width="15" customWidth="1"/>
    <col min="22" max="22" width="13" customWidth="1"/>
    <col min="29" max="29" width="16.85546875" customWidth="1"/>
    <col min="30" max="30" width="19.140625" customWidth="1"/>
    <col min="31" max="31" width="16.42578125" customWidth="1"/>
    <col min="32" max="32" width="19" customWidth="1"/>
    <col min="33" max="33" width="17.85546875" customWidth="1"/>
    <col min="34" max="34" width="20.42578125" customWidth="1"/>
    <col min="35" max="35" width="21" customWidth="1"/>
    <col min="36" max="36" width="23.5703125" customWidth="1"/>
    <col min="37" max="37" width="14" customWidth="1"/>
    <col min="39" max="39" width="22.140625" customWidth="1"/>
  </cols>
  <sheetData>
    <row r="1" spans="1:39" x14ac:dyDescent="0.25">
      <c r="A1" t="s">
        <v>9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62</v>
      </c>
      <c r="T1" t="s">
        <v>63</v>
      </c>
      <c r="U1" t="s">
        <v>64</v>
      </c>
      <c r="V1" t="s">
        <v>65</v>
      </c>
      <c r="W1" t="s">
        <v>88</v>
      </c>
      <c r="X1" t="s">
        <v>66</v>
      </c>
      <c r="Y1" t="s">
        <v>67</v>
      </c>
      <c r="Z1" t="s">
        <v>68</v>
      </c>
      <c r="AA1" t="s">
        <v>69</v>
      </c>
      <c r="AB1" t="s">
        <v>70</v>
      </c>
      <c r="AC1" t="s">
        <v>71</v>
      </c>
      <c r="AD1" t="s">
        <v>72</v>
      </c>
      <c r="AE1" t="s">
        <v>73</v>
      </c>
      <c r="AF1" t="s">
        <v>74</v>
      </c>
      <c r="AG1" t="s">
        <v>75</v>
      </c>
      <c r="AH1" t="s">
        <v>76</v>
      </c>
      <c r="AI1" t="s">
        <v>77</v>
      </c>
      <c r="AJ1" t="s">
        <v>78</v>
      </c>
      <c r="AK1" t="s">
        <v>79</v>
      </c>
      <c r="AL1" t="s">
        <v>80</v>
      </c>
      <c r="AM1" t="s">
        <v>81</v>
      </c>
    </row>
    <row r="2" spans="1:39" x14ac:dyDescent="0.25">
      <c r="A2">
        <v>1</v>
      </c>
      <c r="B2" t="s">
        <v>40</v>
      </c>
      <c r="C2">
        <v>4.4356748224151546E-2</v>
      </c>
      <c r="D2">
        <v>20.898978985022008</v>
      </c>
      <c r="E2">
        <v>4.2221782961059495E-2</v>
      </c>
      <c r="F2">
        <v>22.892992520411216</v>
      </c>
      <c r="G2" t="s">
        <v>40</v>
      </c>
      <c r="H2" t="s">
        <v>40</v>
      </c>
      <c r="I2" t="s">
        <v>40</v>
      </c>
      <c r="J2" t="s">
        <v>40</v>
      </c>
      <c r="K2">
        <v>0.51521099116781155</v>
      </c>
      <c r="L2">
        <v>0.40394088669950745</v>
      </c>
      <c r="M2">
        <v>0.29849259931897171</v>
      </c>
      <c r="N2">
        <v>4.5999999999999988</v>
      </c>
      <c r="O2">
        <v>1.7056207625574107</v>
      </c>
      <c r="P2" t="s">
        <v>40</v>
      </c>
      <c r="Q2" t="s">
        <v>40</v>
      </c>
      <c r="R2" t="s">
        <v>40</v>
      </c>
      <c r="S2" t="s">
        <v>40</v>
      </c>
      <c r="T2">
        <v>-6.6666666666666662E-3</v>
      </c>
      <c r="U2" t="s">
        <v>40</v>
      </c>
      <c r="V2">
        <v>-6.6666666666666662E-3</v>
      </c>
      <c r="W2" t="s">
        <v>40</v>
      </c>
      <c r="X2" t="s">
        <v>40</v>
      </c>
      <c r="Y2">
        <v>2.3137781758471353E-4</v>
      </c>
      <c r="Z2" t="s">
        <v>40</v>
      </c>
      <c r="AA2" t="s">
        <v>40</v>
      </c>
      <c r="AB2">
        <v>7.458250778375318E-2</v>
      </c>
      <c r="AC2" t="s">
        <v>40</v>
      </c>
      <c r="AD2" t="s">
        <v>40</v>
      </c>
      <c r="AE2" t="s">
        <v>40</v>
      </c>
      <c r="AF2" t="s">
        <v>40</v>
      </c>
      <c r="AG2" t="s">
        <v>40</v>
      </c>
      <c r="AH2" t="s">
        <v>40</v>
      </c>
      <c r="AI2" t="s">
        <v>40</v>
      </c>
      <c r="AJ2" t="s">
        <v>40</v>
      </c>
      <c r="AL2" t="s">
        <v>40</v>
      </c>
      <c r="AM2">
        <v>0</v>
      </c>
    </row>
    <row r="3" spans="1:39" x14ac:dyDescent="0.25">
      <c r="A3">
        <v>2</v>
      </c>
      <c r="B3" t="s">
        <v>40</v>
      </c>
      <c r="C3" t="s">
        <v>40</v>
      </c>
      <c r="D3" t="s">
        <v>40</v>
      </c>
      <c r="E3">
        <v>4.9460431654676264E-2</v>
      </c>
      <c r="F3">
        <v>23.380713110663418</v>
      </c>
      <c r="G3">
        <v>2.6083012020866408E-2</v>
      </c>
      <c r="H3">
        <v>1.4545454545454558E-3</v>
      </c>
      <c r="I3">
        <v>1.4545454545454558E-3</v>
      </c>
      <c r="J3">
        <v>1.1225658648339064E-2</v>
      </c>
      <c r="K3">
        <v>0.52744186046511632</v>
      </c>
      <c r="L3">
        <v>0.38797284190106701</v>
      </c>
      <c r="M3">
        <v>0.3038863839718669</v>
      </c>
      <c r="N3">
        <v>5.55</v>
      </c>
      <c r="O3">
        <v>1.7051399811053478</v>
      </c>
      <c r="P3">
        <v>0.99737303370786512</v>
      </c>
      <c r="Q3">
        <v>-5.6179775280898875E-3</v>
      </c>
      <c r="R3">
        <v>-6.2485354994923064E-3</v>
      </c>
      <c r="S3">
        <v>-6.3555913113435246E-3</v>
      </c>
      <c r="T3" t="s">
        <v>40</v>
      </c>
      <c r="U3">
        <v>-6.6154851355766098E-3</v>
      </c>
      <c r="V3">
        <v>-6.406537315470813E-3</v>
      </c>
      <c r="W3">
        <v>-5.5585683297180036E-3</v>
      </c>
      <c r="X3">
        <v>-6.1398034014666873E-3</v>
      </c>
      <c r="Y3">
        <v>-5.74712643678161E-3</v>
      </c>
      <c r="Z3">
        <v>-6.3329772623226003E-3</v>
      </c>
      <c r="AA3">
        <v>-5.2180635186497466E-3</v>
      </c>
      <c r="AB3">
        <v>-4.6667050757619412E-3</v>
      </c>
      <c r="AC3" t="s">
        <v>40</v>
      </c>
      <c r="AD3" t="s">
        <v>40</v>
      </c>
      <c r="AE3" t="s">
        <v>40</v>
      </c>
      <c r="AF3" t="s">
        <v>40</v>
      </c>
      <c r="AG3" t="s">
        <v>40</v>
      </c>
      <c r="AH3" t="s">
        <v>40</v>
      </c>
      <c r="AI3" t="s">
        <v>40</v>
      </c>
      <c r="AJ3" t="s">
        <v>40</v>
      </c>
      <c r="AL3" t="s">
        <v>40</v>
      </c>
      <c r="AM3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/>
  <dimension ref="B1:Z42"/>
  <sheetViews>
    <sheetView showGridLines="0" zoomScale="85" zoomScaleNormal="85" zoomScalePageLayoutView="115" workbookViewId="0">
      <selection activeCell="Z42" sqref="Z42"/>
    </sheetView>
  </sheetViews>
  <sheetFormatPr baseColWidth="10" defaultColWidth="11.42578125" defaultRowHeight="12.75" x14ac:dyDescent="0.2"/>
  <cols>
    <col min="1" max="1" width="3.42578125" style="35" customWidth="1"/>
    <col min="2" max="2" width="20.140625" style="35" bestFit="1" customWidth="1"/>
    <col min="3" max="3" width="29.7109375" style="35" customWidth="1"/>
    <col min="4" max="4" width="10.140625" style="35" customWidth="1"/>
    <col min="5" max="5" width="11.28515625" style="35" customWidth="1"/>
    <col min="6" max="6" width="7" style="35" customWidth="1"/>
    <col min="7" max="7" width="9.42578125" style="35" hidden="1" customWidth="1"/>
    <col min="8" max="8" width="17.140625" style="35" customWidth="1"/>
    <col min="9" max="9" width="11.7109375" style="35" customWidth="1"/>
    <col min="10" max="10" width="14.7109375" style="35" customWidth="1"/>
    <col min="11" max="11" width="9.42578125" style="35" customWidth="1"/>
    <col min="12" max="12" width="7.7109375" style="35" customWidth="1"/>
    <col min="13" max="13" width="9.7109375" style="35" customWidth="1"/>
    <col min="14" max="14" width="10" style="35" customWidth="1"/>
    <col min="15" max="15" width="10" style="35" hidden="1" customWidth="1"/>
    <col min="16" max="16" width="10.7109375" style="35" customWidth="1"/>
    <col min="17" max="17" width="9.28515625" style="35" customWidth="1"/>
    <col min="18" max="18" width="8.7109375" style="35" customWidth="1"/>
    <col min="19" max="20" width="9.7109375" style="35" customWidth="1"/>
    <col min="21" max="21" width="2.7109375" style="36" customWidth="1"/>
    <col min="22" max="26" width="11.42578125" style="36"/>
    <col min="27" max="229" width="11.42578125" style="35"/>
    <col min="230" max="230" width="38.7109375" style="35" customWidth="1"/>
    <col min="231" max="231" width="11.42578125" style="35"/>
    <col min="232" max="232" width="13.42578125" style="35" customWidth="1"/>
    <col min="233" max="233" width="8.42578125" style="35" customWidth="1"/>
    <col min="234" max="235" width="7" style="35" customWidth="1"/>
    <col min="236" max="242" width="11.42578125" style="35"/>
    <col min="243" max="243" width="24.7109375" style="35" customWidth="1"/>
    <col min="244" max="244" width="15.140625" style="35" customWidth="1"/>
    <col min="245" max="245" width="14.7109375" style="35" customWidth="1"/>
    <col min="246" max="246" width="16.7109375" style="35" customWidth="1"/>
    <col min="247" max="247" width="16.42578125" style="35" customWidth="1"/>
    <col min="248" max="248" width="17.42578125" style="35" customWidth="1"/>
    <col min="249" max="249" width="21.140625" style="35" customWidth="1"/>
    <col min="250" max="250" width="19.42578125" style="35" customWidth="1"/>
    <col min="251" max="485" width="11.42578125" style="35"/>
    <col min="486" max="486" width="38.7109375" style="35" customWidth="1"/>
    <col min="487" max="487" width="11.42578125" style="35"/>
    <col min="488" max="488" width="13.42578125" style="35" customWidth="1"/>
    <col min="489" max="489" width="8.42578125" style="35" customWidth="1"/>
    <col min="490" max="491" width="7" style="35" customWidth="1"/>
    <col min="492" max="498" width="11.42578125" style="35"/>
    <col min="499" max="499" width="24.7109375" style="35" customWidth="1"/>
    <col min="500" max="500" width="15.140625" style="35" customWidth="1"/>
    <col min="501" max="501" width="14.7109375" style="35" customWidth="1"/>
    <col min="502" max="502" width="16.7109375" style="35" customWidth="1"/>
    <col min="503" max="503" width="16.42578125" style="35" customWidth="1"/>
    <col min="504" max="504" width="17.42578125" style="35" customWidth="1"/>
    <col min="505" max="505" width="21.140625" style="35" customWidth="1"/>
    <col min="506" max="506" width="19.42578125" style="35" customWidth="1"/>
    <col min="507" max="741" width="11.42578125" style="35"/>
    <col min="742" max="742" width="38.7109375" style="35" customWidth="1"/>
    <col min="743" max="743" width="11.42578125" style="35"/>
    <col min="744" max="744" width="13.42578125" style="35" customWidth="1"/>
    <col min="745" max="745" width="8.42578125" style="35" customWidth="1"/>
    <col min="746" max="747" width="7" style="35" customWidth="1"/>
    <col min="748" max="754" width="11.42578125" style="35"/>
    <col min="755" max="755" width="24.7109375" style="35" customWidth="1"/>
    <col min="756" max="756" width="15.140625" style="35" customWidth="1"/>
    <col min="757" max="757" width="14.7109375" style="35" customWidth="1"/>
    <col min="758" max="758" width="16.7109375" style="35" customWidth="1"/>
    <col min="759" max="759" width="16.42578125" style="35" customWidth="1"/>
    <col min="760" max="760" width="17.42578125" style="35" customWidth="1"/>
    <col min="761" max="761" width="21.140625" style="35" customWidth="1"/>
    <col min="762" max="762" width="19.42578125" style="35" customWidth="1"/>
    <col min="763" max="997" width="11.42578125" style="35"/>
    <col min="998" max="998" width="38.7109375" style="35" customWidth="1"/>
    <col min="999" max="999" width="11.42578125" style="35"/>
    <col min="1000" max="1000" width="13.42578125" style="35" customWidth="1"/>
    <col min="1001" max="1001" width="8.42578125" style="35" customWidth="1"/>
    <col min="1002" max="1003" width="7" style="35" customWidth="1"/>
    <col min="1004" max="1010" width="11.42578125" style="35"/>
    <col min="1011" max="1011" width="24.7109375" style="35" customWidth="1"/>
    <col min="1012" max="1012" width="15.140625" style="35" customWidth="1"/>
    <col min="1013" max="1013" width="14.7109375" style="35" customWidth="1"/>
    <col min="1014" max="1014" width="16.7109375" style="35" customWidth="1"/>
    <col min="1015" max="1015" width="16.42578125" style="35" customWidth="1"/>
    <col min="1016" max="1016" width="17.42578125" style="35" customWidth="1"/>
    <col min="1017" max="1017" width="21.140625" style="35" customWidth="1"/>
    <col min="1018" max="1018" width="19.42578125" style="35" customWidth="1"/>
    <col min="1019" max="1253" width="11.42578125" style="35"/>
    <col min="1254" max="1254" width="38.7109375" style="35" customWidth="1"/>
    <col min="1255" max="1255" width="11.42578125" style="35"/>
    <col min="1256" max="1256" width="13.42578125" style="35" customWidth="1"/>
    <col min="1257" max="1257" width="8.42578125" style="35" customWidth="1"/>
    <col min="1258" max="1259" width="7" style="35" customWidth="1"/>
    <col min="1260" max="1266" width="11.42578125" style="35"/>
    <col min="1267" max="1267" width="24.7109375" style="35" customWidth="1"/>
    <col min="1268" max="1268" width="15.140625" style="35" customWidth="1"/>
    <col min="1269" max="1269" width="14.7109375" style="35" customWidth="1"/>
    <col min="1270" max="1270" width="16.7109375" style="35" customWidth="1"/>
    <col min="1271" max="1271" width="16.42578125" style="35" customWidth="1"/>
    <col min="1272" max="1272" width="17.42578125" style="35" customWidth="1"/>
    <col min="1273" max="1273" width="21.140625" style="35" customWidth="1"/>
    <col min="1274" max="1274" width="19.42578125" style="35" customWidth="1"/>
    <col min="1275" max="1509" width="11.42578125" style="35"/>
    <col min="1510" max="1510" width="38.7109375" style="35" customWidth="1"/>
    <col min="1511" max="1511" width="11.42578125" style="35"/>
    <col min="1512" max="1512" width="13.42578125" style="35" customWidth="1"/>
    <col min="1513" max="1513" width="8.42578125" style="35" customWidth="1"/>
    <col min="1514" max="1515" width="7" style="35" customWidth="1"/>
    <col min="1516" max="1522" width="11.42578125" style="35"/>
    <col min="1523" max="1523" width="24.7109375" style="35" customWidth="1"/>
    <col min="1524" max="1524" width="15.140625" style="35" customWidth="1"/>
    <col min="1525" max="1525" width="14.7109375" style="35" customWidth="1"/>
    <col min="1526" max="1526" width="16.7109375" style="35" customWidth="1"/>
    <col min="1527" max="1527" width="16.42578125" style="35" customWidth="1"/>
    <col min="1528" max="1528" width="17.42578125" style="35" customWidth="1"/>
    <col min="1529" max="1529" width="21.140625" style="35" customWidth="1"/>
    <col min="1530" max="1530" width="19.42578125" style="35" customWidth="1"/>
    <col min="1531" max="1765" width="11.42578125" style="35"/>
    <col min="1766" max="1766" width="38.7109375" style="35" customWidth="1"/>
    <col min="1767" max="1767" width="11.42578125" style="35"/>
    <col min="1768" max="1768" width="13.42578125" style="35" customWidth="1"/>
    <col min="1769" max="1769" width="8.42578125" style="35" customWidth="1"/>
    <col min="1770" max="1771" width="7" style="35" customWidth="1"/>
    <col min="1772" max="1778" width="11.42578125" style="35"/>
    <col min="1779" max="1779" width="24.7109375" style="35" customWidth="1"/>
    <col min="1780" max="1780" width="15.140625" style="35" customWidth="1"/>
    <col min="1781" max="1781" width="14.7109375" style="35" customWidth="1"/>
    <col min="1782" max="1782" width="16.7109375" style="35" customWidth="1"/>
    <col min="1783" max="1783" width="16.42578125" style="35" customWidth="1"/>
    <col min="1784" max="1784" width="17.42578125" style="35" customWidth="1"/>
    <col min="1785" max="1785" width="21.140625" style="35" customWidth="1"/>
    <col min="1786" max="1786" width="19.42578125" style="35" customWidth="1"/>
    <col min="1787" max="2021" width="11.42578125" style="35"/>
    <col min="2022" max="2022" width="38.7109375" style="35" customWidth="1"/>
    <col min="2023" max="2023" width="11.42578125" style="35"/>
    <col min="2024" max="2024" width="13.42578125" style="35" customWidth="1"/>
    <col min="2025" max="2025" width="8.42578125" style="35" customWidth="1"/>
    <col min="2026" max="2027" width="7" style="35" customWidth="1"/>
    <col min="2028" max="2034" width="11.42578125" style="35"/>
    <col min="2035" max="2035" width="24.7109375" style="35" customWidth="1"/>
    <col min="2036" max="2036" width="15.140625" style="35" customWidth="1"/>
    <col min="2037" max="2037" width="14.7109375" style="35" customWidth="1"/>
    <col min="2038" max="2038" width="16.7109375" style="35" customWidth="1"/>
    <col min="2039" max="2039" width="16.42578125" style="35" customWidth="1"/>
    <col min="2040" max="2040" width="17.42578125" style="35" customWidth="1"/>
    <col min="2041" max="2041" width="21.140625" style="35" customWidth="1"/>
    <col min="2042" max="2042" width="19.42578125" style="35" customWidth="1"/>
    <col min="2043" max="2277" width="11.42578125" style="35"/>
    <col min="2278" max="2278" width="38.7109375" style="35" customWidth="1"/>
    <col min="2279" max="2279" width="11.42578125" style="35"/>
    <col min="2280" max="2280" width="13.42578125" style="35" customWidth="1"/>
    <col min="2281" max="2281" width="8.42578125" style="35" customWidth="1"/>
    <col min="2282" max="2283" width="7" style="35" customWidth="1"/>
    <col min="2284" max="2290" width="11.42578125" style="35"/>
    <col min="2291" max="2291" width="24.7109375" style="35" customWidth="1"/>
    <col min="2292" max="2292" width="15.140625" style="35" customWidth="1"/>
    <col min="2293" max="2293" width="14.7109375" style="35" customWidth="1"/>
    <col min="2294" max="2294" width="16.7109375" style="35" customWidth="1"/>
    <col min="2295" max="2295" width="16.42578125" style="35" customWidth="1"/>
    <col min="2296" max="2296" width="17.42578125" style="35" customWidth="1"/>
    <col min="2297" max="2297" width="21.140625" style="35" customWidth="1"/>
    <col min="2298" max="2298" width="19.42578125" style="35" customWidth="1"/>
    <col min="2299" max="2533" width="11.42578125" style="35"/>
    <col min="2534" max="2534" width="38.7109375" style="35" customWidth="1"/>
    <col min="2535" max="2535" width="11.42578125" style="35"/>
    <col min="2536" max="2536" width="13.42578125" style="35" customWidth="1"/>
    <col min="2537" max="2537" width="8.42578125" style="35" customWidth="1"/>
    <col min="2538" max="2539" width="7" style="35" customWidth="1"/>
    <col min="2540" max="2546" width="11.42578125" style="35"/>
    <col min="2547" max="2547" width="24.7109375" style="35" customWidth="1"/>
    <col min="2548" max="2548" width="15.140625" style="35" customWidth="1"/>
    <col min="2549" max="2549" width="14.7109375" style="35" customWidth="1"/>
    <col min="2550" max="2550" width="16.7109375" style="35" customWidth="1"/>
    <col min="2551" max="2551" width="16.42578125" style="35" customWidth="1"/>
    <col min="2552" max="2552" width="17.42578125" style="35" customWidth="1"/>
    <col min="2553" max="2553" width="21.140625" style="35" customWidth="1"/>
    <col min="2554" max="2554" width="19.42578125" style="35" customWidth="1"/>
    <col min="2555" max="2789" width="11.42578125" style="35"/>
    <col min="2790" max="2790" width="38.7109375" style="35" customWidth="1"/>
    <col min="2791" max="2791" width="11.42578125" style="35"/>
    <col min="2792" max="2792" width="13.42578125" style="35" customWidth="1"/>
    <col min="2793" max="2793" width="8.42578125" style="35" customWidth="1"/>
    <col min="2794" max="2795" width="7" style="35" customWidth="1"/>
    <col min="2796" max="2802" width="11.42578125" style="35"/>
    <col min="2803" max="2803" width="24.7109375" style="35" customWidth="1"/>
    <col min="2804" max="2804" width="15.140625" style="35" customWidth="1"/>
    <col min="2805" max="2805" width="14.7109375" style="35" customWidth="1"/>
    <col min="2806" max="2806" width="16.7109375" style="35" customWidth="1"/>
    <col min="2807" max="2807" width="16.42578125" style="35" customWidth="1"/>
    <col min="2808" max="2808" width="17.42578125" style="35" customWidth="1"/>
    <col min="2809" max="2809" width="21.140625" style="35" customWidth="1"/>
    <col min="2810" max="2810" width="19.42578125" style="35" customWidth="1"/>
    <col min="2811" max="3045" width="11.42578125" style="35"/>
    <col min="3046" max="3046" width="38.7109375" style="35" customWidth="1"/>
    <col min="3047" max="3047" width="11.42578125" style="35"/>
    <col min="3048" max="3048" width="13.42578125" style="35" customWidth="1"/>
    <col min="3049" max="3049" width="8.42578125" style="35" customWidth="1"/>
    <col min="3050" max="3051" width="7" style="35" customWidth="1"/>
    <col min="3052" max="3058" width="11.42578125" style="35"/>
    <col min="3059" max="3059" width="24.7109375" style="35" customWidth="1"/>
    <col min="3060" max="3060" width="15.140625" style="35" customWidth="1"/>
    <col min="3061" max="3061" width="14.7109375" style="35" customWidth="1"/>
    <col min="3062" max="3062" width="16.7109375" style="35" customWidth="1"/>
    <col min="3063" max="3063" width="16.42578125" style="35" customWidth="1"/>
    <col min="3064" max="3064" width="17.42578125" style="35" customWidth="1"/>
    <col min="3065" max="3065" width="21.140625" style="35" customWidth="1"/>
    <col min="3066" max="3066" width="19.42578125" style="35" customWidth="1"/>
    <col min="3067" max="3301" width="11.42578125" style="35"/>
    <col min="3302" max="3302" width="38.7109375" style="35" customWidth="1"/>
    <col min="3303" max="3303" width="11.42578125" style="35"/>
    <col min="3304" max="3304" width="13.42578125" style="35" customWidth="1"/>
    <col min="3305" max="3305" width="8.42578125" style="35" customWidth="1"/>
    <col min="3306" max="3307" width="7" style="35" customWidth="1"/>
    <col min="3308" max="3314" width="11.42578125" style="35"/>
    <col min="3315" max="3315" width="24.7109375" style="35" customWidth="1"/>
    <col min="3316" max="3316" width="15.140625" style="35" customWidth="1"/>
    <col min="3317" max="3317" width="14.7109375" style="35" customWidth="1"/>
    <col min="3318" max="3318" width="16.7109375" style="35" customWidth="1"/>
    <col min="3319" max="3319" width="16.42578125" style="35" customWidth="1"/>
    <col min="3320" max="3320" width="17.42578125" style="35" customWidth="1"/>
    <col min="3321" max="3321" width="21.140625" style="35" customWidth="1"/>
    <col min="3322" max="3322" width="19.42578125" style="35" customWidth="1"/>
    <col min="3323" max="3557" width="11.42578125" style="35"/>
    <col min="3558" max="3558" width="38.7109375" style="35" customWidth="1"/>
    <col min="3559" max="3559" width="11.42578125" style="35"/>
    <col min="3560" max="3560" width="13.42578125" style="35" customWidth="1"/>
    <col min="3561" max="3561" width="8.42578125" style="35" customWidth="1"/>
    <col min="3562" max="3563" width="7" style="35" customWidth="1"/>
    <col min="3564" max="3570" width="11.42578125" style="35"/>
    <col min="3571" max="3571" width="24.7109375" style="35" customWidth="1"/>
    <col min="3572" max="3572" width="15.140625" style="35" customWidth="1"/>
    <col min="3573" max="3573" width="14.7109375" style="35" customWidth="1"/>
    <col min="3574" max="3574" width="16.7109375" style="35" customWidth="1"/>
    <col min="3575" max="3575" width="16.42578125" style="35" customWidth="1"/>
    <col min="3576" max="3576" width="17.42578125" style="35" customWidth="1"/>
    <col min="3577" max="3577" width="21.140625" style="35" customWidth="1"/>
    <col min="3578" max="3578" width="19.42578125" style="35" customWidth="1"/>
    <col min="3579" max="3813" width="11.42578125" style="35"/>
    <col min="3814" max="3814" width="38.7109375" style="35" customWidth="1"/>
    <col min="3815" max="3815" width="11.42578125" style="35"/>
    <col min="3816" max="3816" width="13.42578125" style="35" customWidth="1"/>
    <col min="3817" max="3817" width="8.42578125" style="35" customWidth="1"/>
    <col min="3818" max="3819" width="7" style="35" customWidth="1"/>
    <col min="3820" max="3826" width="11.42578125" style="35"/>
    <col min="3827" max="3827" width="24.7109375" style="35" customWidth="1"/>
    <col min="3828" max="3828" width="15.140625" style="35" customWidth="1"/>
    <col min="3829" max="3829" width="14.7109375" style="35" customWidth="1"/>
    <col min="3830" max="3830" width="16.7109375" style="35" customWidth="1"/>
    <col min="3831" max="3831" width="16.42578125" style="35" customWidth="1"/>
    <col min="3832" max="3832" width="17.42578125" style="35" customWidth="1"/>
    <col min="3833" max="3833" width="21.140625" style="35" customWidth="1"/>
    <col min="3834" max="3834" width="19.42578125" style="35" customWidth="1"/>
    <col min="3835" max="4069" width="11.42578125" style="35"/>
    <col min="4070" max="4070" width="38.7109375" style="35" customWidth="1"/>
    <col min="4071" max="4071" width="11.42578125" style="35"/>
    <col min="4072" max="4072" width="13.42578125" style="35" customWidth="1"/>
    <col min="4073" max="4073" width="8.42578125" style="35" customWidth="1"/>
    <col min="4074" max="4075" width="7" style="35" customWidth="1"/>
    <col min="4076" max="4082" width="11.42578125" style="35"/>
    <col min="4083" max="4083" width="24.7109375" style="35" customWidth="1"/>
    <col min="4084" max="4084" width="15.140625" style="35" customWidth="1"/>
    <col min="4085" max="4085" width="14.7109375" style="35" customWidth="1"/>
    <col min="4086" max="4086" width="16.7109375" style="35" customWidth="1"/>
    <col min="4087" max="4087" width="16.42578125" style="35" customWidth="1"/>
    <col min="4088" max="4088" width="17.42578125" style="35" customWidth="1"/>
    <col min="4089" max="4089" width="21.140625" style="35" customWidth="1"/>
    <col min="4090" max="4090" width="19.42578125" style="35" customWidth="1"/>
    <col min="4091" max="4325" width="11.42578125" style="35"/>
    <col min="4326" max="4326" width="38.7109375" style="35" customWidth="1"/>
    <col min="4327" max="4327" width="11.42578125" style="35"/>
    <col min="4328" max="4328" width="13.42578125" style="35" customWidth="1"/>
    <col min="4329" max="4329" width="8.42578125" style="35" customWidth="1"/>
    <col min="4330" max="4331" width="7" style="35" customWidth="1"/>
    <col min="4332" max="4338" width="11.42578125" style="35"/>
    <col min="4339" max="4339" width="24.7109375" style="35" customWidth="1"/>
    <col min="4340" max="4340" width="15.140625" style="35" customWidth="1"/>
    <col min="4341" max="4341" width="14.7109375" style="35" customWidth="1"/>
    <col min="4342" max="4342" width="16.7109375" style="35" customWidth="1"/>
    <col min="4343" max="4343" width="16.42578125" style="35" customWidth="1"/>
    <col min="4344" max="4344" width="17.42578125" style="35" customWidth="1"/>
    <col min="4345" max="4345" width="21.140625" style="35" customWidth="1"/>
    <col min="4346" max="4346" width="19.42578125" style="35" customWidth="1"/>
    <col min="4347" max="4581" width="11.42578125" style="35"/>
    <col min="4582" max="4582" width="38.7109375" style="35" customWidth="1"/>
    <col min="4583" max="4583" width="11.42578125" style="35"/>
    <col min="4584" max="4584" width="13.42578125" style="35" customWidth="1"/>
    <col min="4585" max="4585" width="8.42578125" style="35" customWidth="1"/>
    <col min="4586" max="4587" width="7" style="35" customWidth="1"/>
    <col min="4588" max="4594" width="11.42578125" style="35"/>
    <col min="4595" max="4595" width="24.7109375" style="35" customWidth="1"/>
    <col min="4596" max="4596" width="15.140625" style="35" customWidth="1"/>
    <col min="4597" max="4597" width="14.7109375" style="35" customWidth="1"/>
    <col min="4598" max="4598" width="16.7109375" style="35" customWidth="1"/>
    <col min="4599" max="4599" width="16.42578125" style="35" customWidth="1"/>
    <col min="4600" max="4600" width="17.42578125" style="35" customWidth="1"/>
    <col min="4601" max="4601" width="21.140625" style="35" customWidth="1"/>
    <col min="4602" max="4602" width="19.42578125" style="35" customWidth="1"/>
    <col min="4603" max="4837" width="11.42578125" style="35"/>
    <col min="4838" max="4838" width="38.7109375" style="35" customWidth="1"/>
    <col min="4839" max="4839" width="11.42578125" style="35"/>
    <col min="4840" max="4840" width="13.42578125" style="35" customWidth="1"/>
    <col min="4841" max="4841" width="8.42578125" style="35" customWidth="1"/>
    <col min="4842" max="4843" width="7" style="35" customWidth="1"/>
    <col min="4844" max="4850" width="11.42578125" style="35"/>
    <col min="4851" max="4851" width="24.7109375" style="35" customWidth="1"/>
    <col min="4852" max="4852" width="15.140625" style="35" customWidth="1"/>
    <col min="4853" max="4853" width="14.7109375" style="35" customWidth="1"/>
    <col min="4854" max="4854" width="16.7109375" style="35" customWidth="1"/>
    <col min="4855" max="4855" width="16.42578125" style="35" customWidth="1"/>
    <col min="4856" max="4856" width="17.42578125" style="35" customWidth="1"/>
    <col min="4857" max="4857" width="21.140625" style="35" customWidth="1"/>
    <col min="4858" max="4858" width="19.42578125" style="35" customWidth="1"/>
    <col min="4859" max="5093" width="11.42578125" style="35"/>
    <col min="5094" max="5094" width="38.7109375" style="35" customWidth="1"/>
    <col min="5095" max="5095" width="11.42578125" style="35"/>
    <col min="5096" max="5096" width="13.42578125" style="35" customWidth="1"/>
    <col min="5097" max="5097" width="8.42578125" style="35" customWidth="1"/>
    <col min="5098" max="5099" width="7" style="35" customWidth="1"/>
    <col min="5100" max="5106" width="11.42578125" style="35"/>
    <col min="5107" max="5107" width="24.7109375" style="35" customWidth="1"/>
    <col min="5108" max="5108" width="15.140625" style="35" customWidth="1"/>
    <col min="5109" max="5109" width="14.7109375" style="35" customWidth="1"/>
    <col min="5110" max="5110" width="16.7109375" style="35" customWidth="1"/>
    <col min="5111" max="5111" width="16.42578125" style="35" customWidth="1"/>
    <col min="5112" max="5112" width="17.42578125" style="35" customWidth="1"/>
    <col min="5113" max="5113" width="21.140625" style="35" customWidth="1"/>
    <col min="5114" max="5114" width="19.42578125" style="35" customWidth="1"/>
    <col min="5115" max="5349" width="11.42578125" style="35"/>
    <col min="5350" max="5350" width="38.7109375" style="35" customWidth="1"/>
    <col min="5351" max="5351" width="11.42578125" style="35"/>
    <col min="5352" max="5352" width="13.42578125" style="35" customWidth="1"/>
    <col min="5353" max="5353" width="8.42578125" style="35" customWidth="1"/>
    <col min="5354" max="5355" width="7" style="35" customWidth="1"/>
    <col min="5356" max="5362" width="11.42578125" style="35"/>
    <col min="5363" max="5363" width="24.7109375" style="35" customWidth="1"/>
    <col min="5364" max="5364" width="15.140625" style="35" customWidth="1"/>
    <col min="5365" max="5365" width="14.7109375" style="35" customWidth="1"/>
    <col min="5366" max="5366" width="16.7109375" style="35" customWidth="1"/>
    <col min="5367" max="5367" width="16.42578125" style="35" customWidth="1"/>
    <col min="5368" max="5368" width="17.42578125" style="35" customWidth="1"/>
    <col min="5369" max="5369" width="21.140625" style="35" customWidth="1"/>
    <col min="5370" max="5370" width="19.42578125" style="35" customWidth="1"/>
    <col min="5371" max="5605" width="11.42578125" style="35"/>
    <col min="5606" max="5606" width="38.7109375" style="35" customWidth="1"/>
    <col min="5607" max="5607" width="11.42578125" style="35"/>
    <col min="5608" max="5608" width="13.42578125" style="35" customWidth="1"/>
    <col min="5609" max="5609" width="8.42578125" style="35" customWidth="1"/>
    <col min="5610" max="5611" width="7" style="35" customWidth="1"/>
    <col min="5612" max="5618" width="11.42578125" style="35"/>
    <col min="5619" max="5619" width="24.7109375" style="35" customWidth="1"/>
    <col min="5620" max="5620" width="15.140625" style="35" customWidth="1"/>
    <col min="5621" max="5621" width="14.7109375" style="35" customWidth="1"/>
    <col min="5622" max="5622" width="16.7109375" style="35" customWidth="1"/>
    <col min="5623" max="5623" width="16.42578125" style="35" customWidth="1"/>
    <col min="5624" max="5624" width="17.42578125" style="35" customWidth="1"/>
    <col min="5625" max="5625" width="21.140625" style="35" customWidth="1"/>
    <col min="5626" max="5626" width="19.42578125" style="35" customWidth="1"/>
    <col min="5627" max="5861" width="11.42578125" style="35"/>
    <col min="5862" max="5862" width="38.7109375" style="35" customWidth="1"/>
    <col min="5863" max="5863" width="11.42578125" style="35"/>
    <col min="5864" max="5864" width="13.42578125" style="35" customWidth="1"/>
    <col min="5865" max="5865" width="8.42578125" style="35" customWidth="1"/>
    <col min="5866" max="5867" width="7" style="35" customWidth="1"/>
    <col min="5868" max="5874" width="11.42578125" style="35"/>
    <col min="5875" max="5875" width="24.7109375" style="35" customWidth="1"/>
    <col min="5876" max="5876" width="15.140625" style="35" customWidth="1"/>
    <col min="5877" max="5877" width="14.7109375" style="35" customWidth="1"/>
    <col min="5878" max="5878" width="16.7109375" style="35" customWidth="1"/>
    <col min="5879" max="5879" width="16.42578125" style="35" customWidth="1"/>
    <col min="5880" max="5880" width="17.42578125" style="35" customWidth="1"/>
    <col min="5881" max="5881" width="21.140625" style="35" customWidth="1"/>
    <col min="5882" max="5882" width="19.42578125" style="35" customWidth="1"/>
    <col min="5883" max="6117" width="11.42578125" style="35"/>
    <col min="6118" max="6118" width="38.7109375" style="35" customWidth="1"/>
    <col min="6119" max="6119" width="11.42578125" style="35"/>
    <col min="6120" max="6120" width="13.42578125" style="35" customWidth="1"/>
    <col min="6121" max="6121" width="8.42578125" style="35" customWidth="1"/>
    <col min="6122" max="6123" width="7" style="35" customWidth="1"/>
    <col min="6124" max="6130" width="11.42578125" style="35"/>
    <col min="6131" max="6131" width="24.7109375" style="35" customWidth="1"/>
    <col min="6132" max="6132" width="15.140625" style="35" customWidth="1"/>
    <col min="6133" max="6133" width="14.7109375" style="35" customWidth="1"/>
    <col min="6134" max="6134" width="16.7109375" style="35" customWidth="1"/>
    <col min="6135" max="6135" width="16.42578125" style="35" customWidth="1"/>
    <col min="6136" max="6136" width="17.42578125" style="35" customWidth="1"/>
    <col min="6137" max="6137" width="21.140625" style="35" customWidth="1"/>
    <col min="6138" max="6138" width="19.42578125" style="35" customWidth="1"/>
    <col min="6139" max="6373" width="11.42578125" style="35"/>
    <col min="6374" max="6374" width="38.7109375" style="35" customWidth="1"/>
    <col min="6375" max="6375" width="11.42578125" style="35"/>
    <col min="6376" max="6376" width="13.42578125" style="35" customWidth="1"/>
    <col min="6377" max="6377" width="8.42578125" style="35" customWidth="1"/>
    <col min="6378" max="6379" width="7" style="35" customWidth="1"/>
    <col min="6380" max="6386" width="11.42578125" style="35"/>
    <col min="6387" max="6387" width="24.7109375" style="35" customWidth="1"/>
    <col min="6388" max="6388" width="15.140625" style="35" customWidth="1"/>
    <col min="6389" max="6389" width="14.7109375" style="35" customWidth="1"/>
    <col min="6390" max="6390" width="16.7109375" style="35" customWidth="1"/>
    <col min="6391" max="6391" width="16.42578125" style="35" customWidth="1"/>
    <col min="6392" max="6392" width="17.42578125" style="35" customWidth="1"/>
    <col min="6393" max="6393" width="21.140625" style="35" customWidth="1"/>
    <col min="6394" max="6394" width="19.42578125" style="35" customWidth="1"/>
    <col min="6395" max="6629" width="11.42578125" style="35"/>
    <col min="6630" max="6630" width="38.7109375" style="35" customWidth="1"/>
    <col min="6631" max="6631" width="11.42578125" style="35"/>
    <col min="6632" max="6632" width="13.42578125" style="35" customWidth="1"/>
    <col min="6633" max="6633" width="8.42578125" style="35" customWidth="1"/>
    <col min="6634" max="6635" width="7" style="35" customWidth="1"/>
    <col min="6636" max="6642" width="11.42578125" style="35"/>
    <col min="6643" max="6643" width="24.7109375" style="35" customWidth="1"/>
    <col min="6644" max="6644" width="15.140625" style="35" customWidth="1"/>
    <col min="6645" max="6645" width="14.7109375" style="35" customWidth="1"/>
    <col min="6646" max="6646" width="16.7109375" style="35" customWidth="1"/>
    <col min="6647" max="6647" width="16.42578125" style="35" customWidth="1"/>
    <col min="6648" max="6648" width="17.42578125" style="35" customWidth="1"/>
    <col min="6649" max="6649" width="21.140625" style="35" customWidth="1"/>
    <col min="6650" max="6650" width="19.42578125" style="35" customWidth="1"/>
    <col min="6651" max="6885" width="11.42578125" style="35"/>
    <col min="6886" max="6886" width="38.7109375" style="35" customWidth="1"/>
    <col min="6887" max="6887" width="11.42578125" style="35"/>
    <col min="6888" max="6888" width="13.42578125" style="35" customWidth="1"/>
    <col min="6889" max="6889" width="8.42578125" style="35" customWidth="1"/>
    <col min="6890" max="6891" width="7" style="35" customWidth="1"/>
    <col min="6892" max="6898" width="11.42578125" style="35"/>
    <col min="6899" max="6899" width="24.7109375" style="35" customWidth="1"/>
    <col min="6900" max="6900" width="15.140625" style="35" customWidth="1"/>
    <col min="6901" max="6901" width="14.7109375" style="35" customWidth="1"/>
    <col min="6902" max="6902" width="16.7109375" style="35" customWidth="1"/>
    <col min="6903" max="6903" width="16.42578125" style="35" customWidth="1"/>
    <col min="6904" max="6904" width="17.42578125" style="35" customWidth="1"/>
    <col min="6905" max="6905" width="21.140625" style="35" customWidth="1"/>
    <col min="6906" max="6906" width="19.42578125" style="35" customWidth="1"/>
    <col min="6907" max="7141" width="11.42578125" style="35"/>
    <col min="7142" max="7142" width="38.7109375" style="35" customWidth="1"/>
    <col min="7143" max="7143" width="11.42578125" style="35"/>
    <col min="7144" max="7144" width="13.42578125" style="35" customWidth="1"/>
    <col min="7145" max="7145" width="8.42578125" style="35" customWidth="1"/>
    <col min="7146" max="7147" width="7" style="35" customWidth="1"/>
    <col min="7148" max="7154" width="11.42578125" style="35"/>
    <col min="7155" max="7155" width="24.7109375" style="35" customWidth="1"/>
    <col min="7156" max="7156" width="15.140625" style="35" customWidth="1"/>
    <col min="7157" max="7157" width="14.7109375" style="35" customWidth="1"/>
    <col min="7158" max="7158" width="16.7109375" style="35" customWidth="1"/>
    <col min="7159" max="7159" width="16.42578125" style="35" customWidth="1"/>
    <col min="7160" max="7160" width="17.42578125" style="35" customWidth="1"/>
    <col min="7161" max="7161" width="21.140625" style="35" customWidth="1"/>
    <col min="7162" max="7162" width="19.42578125" style="35" customWidth="1"/>
    <col min="7163" max="7397" width="11.42578125" style="35"/>
    <col min="7398" max="7398" width="38.7109375" style="35" customWidth="1"/>
    <col min="7399" max="7399" width="11.42578125" style="35"/>
    <col min="7400" max="7400" width="13.42578125" style="35" customWidth="1"/>
    <col min="7401" max="7401" width="8.42578125" style="35" customWidth="1"/>
    <col min="7402" max="7403" width="7" style="35" customWidth="1"/>
    <col min="7404" max="7410" width="11.42578125" style="35"/>
    <col min="7411" max="7411" width="24.7109375" style="35" customWidth="1"/>
    <col min="7412" max="7412" width="15.140625" style="35" customWidth="1"/>
    <col min="7413" max="7413" width="14.7109375" style="35" customWidth="1"/>
    <col min="7414" max="7414" width="16.7109375" style="35" customWidth="1"/>
    <col min="7415" max="7415" width="16.42578125" style="35" customWidth="1"/>
    <col min="7416" max="7416" width="17.42578125" style="35" customWidth="1"/>
    <col min="7417" max="7417" width="21.140625" style="35" customWidth="1"/>
    <col min="7418" max="7418" width="19.42578125" style="35" customWidth="1"/>
    <col min="7419" max="7653" width="11.42578125" style="35"/>
    <col min="7654" max="7654" width="38.7109375" style="35" customWidth="1"/>
    <col min="7655" max="7655" width="11.42578125" style="35"/>
    <col min="7656" max="7656" width="13.42578125" style="35" customWidth="1"/>
    <col min="7657" max="7657" width="8.42578125" style="35" customWidth="1"/>
    <col min="7658" max="7659" width="7" style="35" customWidth="1"/>
    <col min="7660" max="7666" width="11.42578125" style="35"/>
    <col min="7667" max="7667" width="24.7109375" style="35" customWidth="1"/>
    <col min="7668" max="7668" width="15.140625" style="35" customWidth="1"/>
    <col min="7669" max="7669" width="14.7109375" style="35" customWidth="1"/>
    <col min="7670" max="7670" width="16.7109375" style="35" customWidth="1"/>
    <col min="7671" max="7671" width="16.42578125" style="35" customWidth="1"/>
    <col min="7672" max="7672" width="17.42578125" style="35" customWidth="1"/>
    <col min="7673" max="7673" width="21.140625" style="35" customWidth="1"/>
    <col min="7674" max="7674" width="19.42578125" style="35" customWidth="1"/>
    <col min="7675" max="7909" width="11.42578125" style="35"/>
    <col min="7910" max="7910" width="38.7109375" style="35" customWidth="1"/>
    <col min="7911" max="7911" width="11.42578125" style="35"/>
    <col min="7912" max="7912" width="13.42578125" style="35" customWidth="1"/>
    <col min="7913" max="7913" width="8.42578125" style="35" customWidth="1"/>
    <col min="7914" max="7915" width="7" style="35" customWidth="1"/>
    <col min="7916" max="7922" width="11.42578125" style="35"/>
    <col min="7923" max="7923" width="24.7109375" style="35" customWidth="1"/>
    <col min="7924" max="7924" width="15.140625" style="35" customWidth="1"/>
    <col min="7925" max="7925" width="14.7109375" style="35" customWidth="1"/>
    <col min="7926" max="7926" width="16.7109375" style="35" customWidth="1"/>
    <col min="7927" max="7927" width="16.42578125" style="35" customWidth="1"/>
    <col min="7928" max="7928" width="17.42578125" style="35" customWidth="1"/>
    <col min="7929" max="7929" width="21.140625" style="35" customWidth="1"/>
    <col min="7930" max="7930" width="19.42578125" style="35" customWidth="1"/>
    <col min="7931" max="8165" width="11.42578125" style="35"/>
    <col min="8166" max="8166" width="38.7109375" style="35" customWidth="1"/>
    <col min="8167" max="8167" width="11.42578125" style="35"/>
    <col min="8168" max="8168" width="13.42578125" style="35" customWidth="1"/>
    <col min="8169" max="8169" width="8.42578125" style="35" customWidth="1"/>
    <col min="8170" max="8171" width="7" style="35" customWidth="1"/>
    <col min="8172" max="8178" width="11.42578125" style="35"/>
    <col min="8179" max="8179" width="24.7109375" style="35" customWidth="1"/>
    <col min="8180" max="8180" width="15.140625" style="35" customWidth="1"/>
    <col min="8181" max="8181" width="14.7109375" style="35" customWidth="1"/>
    <col min="8182" max="8182" width="16.7109375" style="35" customWidth="1"/>
    <col min="8183" max="8183" width="16.42578125" style="35" customWidth="1"/>
    <col min="8184" max="8184" width="17.42578125" style="35" customWidth="1"/>
    <col min="8185" max="8185" width="21.140625" style="35" customWidth="1"/>
    <col min="8186" max="8186" width="19.42578125" style="35" customWidth="1"/>
    <col min="8187" max="8421" width="11.42578125" style="35"/>
    <col min="8422" max="8422" width="38.7109375" style="35" customWidth="1"/>
    <col min="8423" max="8423" width="11.42578125" style="35"/>
    <col min="8424" max="8424" width="13.42578125" style="35" customWidth="1"/>
    <col min="8425" max="8425" width="8.42578125" style="35" customWidth="1"/>
    <col min="8426" max="8427" width="7" style="35" customWidth="1"/>
    <col min="8428" max="8434" width="11.42578125" style="35"/>
    <col min="8435" max="8435" width="24.7109375" style="35" customWidth="1"/>
    <col min="8436" max="8436" width="15.140625" style="35" customWidth="1"/>
    <col min="8437" max="8437" width="14.7109375" style="35" customWidth="1"/>
    <col min="8438" max="8438" width="16.7109375" style="35" customWidth="1"/>
    <col min="8439" max="8439" width="16.42578125" style="35" customWidth="1"/>
    <col min="8440" max="8440" width="17.42578125" style="35" customWidth="1"/>
    <col min="8441" max="8441" width="21.140625" style="35" customWidth="1"/>
    <col min="8442" max="8442" width="19.42578125" style="35" customWidth="1"/>
    <col min="8443" max="8677" width="11.42578125" style="35"/>
    <col min="8678" max="8678" width="38.7109375" style="35" customWidth="1"/>
    <col min="8679" max="8679" width="11.42578125" style="35"/>
    <col min="8680" max="8680" width="13.42578125" style="35" customWidth="1"/>
    <col min="8681" max="8681" width="8.42578125" style="35" customWidth="1"/>
    <col min="8682" max="8683" width="7" style="35" customWidth="1"/>
    <col min="8684" max="8690" width="11.42578125" style="35"/>
    <col min="8691" max="8691" width="24.7109375" style="35" customWidth="1"/>
    <col min="8692" max="8692" width="15.140625" style="35" customWidth="1"/>
    <col min="8693" max="8693" width="14.7109375" style="35" customWidth="1"/>
    <col min="8694" max="8694" width="16.7109375" style="35" customWidth="1"/>
    <col min="8695" max="8695" width="16.42578125" style="35" customWidth="1"/>
    <col min="8696" max="8696" width="17.42578125" style="35" customWidth="1"/>
    <col min="8697" max="8697" width="21.140625" style="35" customWidth="1"/>
    <col min="8698" max="8698" width="19.42578125" style="35" customWidth="1"/>
    <col min="8699" max="8933" width="11.42578125" style="35"/>
    <col min="8934" max="8934" width="38.7109375" style="35" customWidth="1"/>
    <col min="8935" max="8935" width="11.42578125" style="35"/>
    <col min="8936" max="8936" width="13.42578125" style="35" customWidth="1"/>
    <col min="8937" max="8937" width="8.42578125" style="35" customWidth="1"/>
    <col min="8938" max="8939" width="7" style="35" customWidth="1"/>
    <col min="8940" max="8946" width="11.42578125" style="35"/>
    <col min="8947" max="8947" width="24.7109375" style="35" customWidth="1"/>
    <col min="8948" max="8948" width="15.140625" style="35" customWidth="1"/>
    <col min="8949" max="8949" width="14.7109375" style="35" customWidth="1"/>
    <col min="8950" max="8950" width="16.7109375" style="35" customWidth="1"/>
    <col min="8951" max="8951" width="16.42578125" style="35" customWidth="1"/>
    <col min="8952" max="8952" width="17.42578125" style="35" customWidth="1"/>
    <col min="8953" max="8953" width="21.140625" style="35" customWidth="1"/>
    <col min="8954" max="8954" width="19.42578125" style="35" customWidth="1"/>
    <col min="8955" max="9189" width="11.42578125" style="35"/>
    <col min="9190" max="9190" width="38.7109375" style="35" customWidth="1"/>
    <col min="9191" max="9191" width="11.42578125" style="35"/>
    <col min="9192" max="9192" width="13.42578125" style="35" customWidth="1"/>
    <col min="9193" max="9193" width="8.42578125" style="35" customWidth="1"/>
    <col min="9194" max="9195" width="7" style="35" customWidth="1"/>
    <col min="9196" max="9202" width="11.42578125" style="35"/>
    <col min="9203" max="9203" width="24.7109375" style="35" customWidth="1"/>
    <col min="9204" max="9204" width="15.140625" style="35" customWidth="1"/>
    <col min="9205" max="9205" width="14.7109375" style="35" customWidth="1"/>
    <col min="9206" max="9206" width="16.7109375" style="35" customWidth="1"/>
    <col min="9207" max="9207" width="16.42578125" style="35" customWidth="1"/>
    <col min="9208" max="9208" width="17.42578125" style="35" customWidth="1"/>
    <col min="9209" max="9209" width="21.140625" style="35" customWidth="1"/>
    <col min="9210" max="9210" width="19.42578125" style="35" customWidth="1"/>
    <col min="9211" max="9445" width="11.42578125" style="35"/>
    <col min="9446" max="9446" width="38.7109375" style="35" customWidth="1"/>
    <col min="9447" max="9447" width="11.42578125" style="35"/>
    <col min="9448" max="9448" width="13.42578125" style="35" customWidth="1"/>
    <col min="9449" max="9449" width="8.42578125" style="35" customWidth="1"/>
    <col min="9450" max="9451" width="7" style="35" customWidth="1"/>
    <col min="9452" max="9458" width="11.42578125" style="35"/>
    <col min="9459" max="9459" width="24.7109375" style="35" customWidth="1"/>
    <col min="9460" max="9460" width="15.140625" style="35" customWidth="1"/>
    <col min="9461" max="9461" width="14.7109375" style="35" customWidth="1"/>
    <col min="9462" max="9462" width="16.7109375" style="35" customWidth="1"/>
    <col min="9463" max="9463" width="16.42578125" style="35" customWidth="1"/>
    <col min="9464" max="9464" width="17.42578125" style="35" customWidth="1"/>
    <col min="9465" max="9465" width="21.140625" style="35" customWidth="1"/>
    <col min="9466" max="9466" width="19.42578125" style="35" customWidth="1"/>
    <col min="9467" max="9701" width="11.42578125" style="35"/>
    <col min="9702" max="9702" width="38.7109375" style="35" customWidth="1"/>
    <col min="9703" max="9703" width="11.42578125" style="35"/>
    <col min="9704" max="9704" width="13.42578125" style="35" customWidth="1"/>
    <col min="9705" max="9705" width="8.42578125" style="35" customWidth="1"/>
    <col min="9706" max="9707" width="7" style="35" customWidth="1"/>
    <col min="9708" max="9714" width="11.42578125" style="35"/>
    <col min="9715" max="9715" width="24.7109375" style="35" customWidth="1"/>
    <col min="9716" max="9716" width="15.140625" style="35" customWidth="1"/>
    <col min="9717" max="9717" width="14.7109375" style="35" customWidth="1"/>
    <col min="9718" max="9718" width="16.7109375" style="35" customWidth="1"/>
    <col min="9719" max="9719" width="16.42578125" style="35" customWidth="1"/>
    <col min="9720" max="9720" width="17.42578125" style="35" customWidth="1"/>
    <col min="9721" max="9721" width="21.140625" style="35" customWidth="1"/>
    <col min="9722" max="9722" width="19.42578125" style="35" customWidth="1"/>
    <col min="9723" max="9957" width="11.42578125" style="35"/>
    <col min="9958" max="9958" width="38.7109375" style="35" customWidth="1"/>
    <col min="9959" max="9959" width="11.42578125" style="35"/>
    <col min="9960" max="9960" width="13.42578125" style="35" customWidth="1"/>
    <col min="9961" max="9961" width="8.42578125" style="35" customWidth="1"/>
    <col min="9962" max="9963" width="7" style="35" customWidth="1"/>
    <col min="9964" max="9970" width="11.42578125" style="35"/>
    <col min="9971" max="9971" width="24.7109375" style="35" customWidth="1"/>
    <col min="9972" max="9972" width="15.140625" style="35" customWidth="1"/>
    <col min="9973" max="9973" width="14.7109375" style="35" customWidth="1"/>
    <col min="9974" max="9974" width="16.7109375" style="35" customWidth="1"/>
    <col min="9975" max="9975" width="16.42578125" style="35" customWidth="1"/>
    <col min="9976" max="9976" width="17.42578125" style="35" customWidth="1"/>
    <col min="9977" max="9977" width="21.140625" style="35" customWidth="1"/>
    <col min="9978" max="9978" width="19.42578125" style="35" customWidth="1"/>
    <col min="9979" max="10213" width="11.42578125" style="35"/>
    <col min="10214" max="10214" width="38.7109375" style="35" customWidth="1"/>
    <col min="10215" max="10215" width="11.42578125" style="35"/>
    <col min="10216" max="10216" width="13.42578125" style="35" customWidth="1"/>
    <col min="10217" max="10217" width="8.42578125" style="35" customWidth="1"/>
    <col min="10218" max="10219" width="7" style="35" customWidth="1"/>
    <col min="10220" max="10226" width="11.42578125" style="35"/>
    <col min="10227" max="10227" width="24.7109375" style="35" customWidth="1"/>
    <col min="10228" max="10228" width="15.140625" style="35" customWidth="1"/>
    <col min="10229" max="10229" width="14.7109375" style="35" customWidth="1"/>
    <col min="10230" max="10230" width="16.7109375" style="35" customWidth="1"/>
    <col min="10231" max="10231" width="16.42578125" style="35" customWidth="1"/>
    <col min="10232" max="10232" width="17.42578125" style="35" customWidth="1"/>
    <col min="10233" max="10233" width="21.140625" style="35" customWidth="1"/>
    <col min="10234" max="10234" width="19.42578125" style="35" customWidth="1"/>
    <col min="10235" max="10469" width="11.42578125" style="35"/>
    <col min="10470" max="10470" width="38.7109375" style="35" customWidth="1"/>
    <col min="10471" max="10471" width="11.42578125" style="35"/>
    <col min="10472" max="10472" width="13.42578125" style="35" customWidth="1"/>
    <col min="10473" max="10473" width="8.42578125" style="35" customWidth="1"/>
    <col min="10474" max="10475" width="7" style="35" customWidth="1"/>
    <col min="10476" max="10482" width="11.42578125" style="35"/>
    <col min="10483" max="10483" width="24.7109375" style="35" customWidth="1"/>
    <col min="10484" max="10484" width="15.140625" style="35" customWidth="1"/>
    <col min="10485" max="10485" width="14.7109375" style="35" customWidth="1"/>
    <col min="10486" max="10486" width="16.7109375" style="35" customWidth="1"/>
    <col min="10487" max="10487" width="16.42578125" style="35" customWidth="1"/>
    <col min="10488" max="10488" width="17.42578125" style="35" customWidth="1"/>
    <col min="10489" max="10489" width="21.140625" style="35" customWidth="1"/>
    <col min="10490" max="10490" width="19.42578125" style="35" customWidth="1"/>
    <col min="10491" max="10725" width="11.42578125" style="35"/>
    <col min="10726" max="10726" width="38.7109375" style="35" customWidth="1"/>
    <col min="10727" max="10727" width="11.42578125" style="35"/>
    <col min="10728" max="10728" width="13.42578125" style="35" customWidth="1"/>
    <col min="10729" max="10729" width="8.42578125" style="35" customWidth="1"/>
    <col min="10730" max="10731" width="7" style="35" customWidth="1"/>
    <col min="10732" max="10738" width="11.42578125" style="35"/>
    <col min="10739" max="10739" width="24.7109375" style="35" customWidth="1"/>
    <col min="10740" max="10740" width="15.140625" style="35" customWidth="1"/>
    <col min="10741" max="10741" width="14.7109375" style="35" customWidth="1"/>
    <col min="10742" max="10742" width="16.7109375" style="35" customWidth="1"/>
    <col min="10743" max="10743" width="16.42578125" style="35" customWidth="1"/>
    <col min="10744" max="10744" width="17.42578125" style="35" customWidth="1"/>
    <col min="10745" max="10745" width="21.140625" style="35" customWidth="1"/>
    <col min="10746" max="10746" width="19.42578125" style="35" customWidth="1"/>
    <col min="10747" max="10981" width="11.42578125" style="35"/>
    <col min="10982" max="10982" width="38.7109375" style="35" customWidth="1"/>
    <col min="10983" max="10983" width="11.42578125" style="35"/>
    <col min="10984" max="10984" width="13.42578125" style="35" customWidth="1"/>
    <col min="10985" max="10985" width="8.42578125" style="35" customWidth="1"/>
    <col min="10986" max="10987" width="7" style="35" customWidth="1"/>
    <col min="10988" max="10994" width="11.42578125" style="35"/>
    <col min="10995" max="10995" width="24.7109375" style="35" customWidth="1"/>
    <col min="10996" max="10996" width="15.140625" style="35" customWidth="1"/>
    <col min="10997" max="10997" width="14.7109375" style="35" customWidth="1"/>
    <col min="10998" max="10998" width="16.7109375" style="35" customWidth="1"/>
    <col min="10999" max="10999" width="16.42578125" style="35" customWidth="1"/>
    <col min="11000" max="11000" width="17.42578125" style="35" customWidth="1"/>
    <col min="11001" max="11001" width="21.140625" style="35" customWidth="1"/>
    <col min="11002" max="11002" width="19.42578125" style="35" customWidth="1"/>
    <col min="11003" max="11237" width="11.42578125" style="35"/>
    <col min="11238" max="11238" width="38.7109375" style="35" customWidth="1"/>
    <col min="11239" max="11239" width="11.42578125" style="35"/>
    <col min="11240" max="11240" width="13.42578125" style="35" customWidth="1"/>
    <col min="11241" max="11241" width="8.42578125" style="35" customWidth="1"/>
    <col min="11242" max="11243" width="7" style="35" customWidth="1"/>
    <col min="11244" max="11250" width="11.42578125" style="35"/>
    <col min="11251" max="11251" width="24.7109375" style="35" customWidth="1"/>
    <col min="11252" max="11252" width="15.140625" style="35" customWidth="1"/>
    <col min="11253" max="11253" width="14.7109375" style="35" customWidth="1"/>
    <col min="11254" max="11254" width="16.7109375" style="35" customWidth="1"/>
    <col min="11255" max="11255" width="16.42578125" style="35" customWidth="1"/>
    <col min="11256" max="11256" width="17.42578125" style="35" customWidth="1"/>
    <col min="11257" max="11257" width="21.140625" style="35" customWidth="1"/>
    <col min="11258" max="11258" width="19.42578125" style="35" customWidth="1"/>
    <col min="11259" max="11493" width="11.42578125" style="35"/>
    <col min="11494" max="11494" width="38.7109375" style="35" customWidth="1"/>
    <col min="11495" max="11495" width="11.42578125" style="35"/>
    <col min="11496" max="11496" width="13.42578125" style="35" customWidth="1"/>
    <col min="11497" max="11497" width="8.42578125" style="35" customWidth="1"/>
    <col min="11498" max="11499" width="7" style="35" customWidth="1"/>
    <col min="11500" max="11506" width="11.42578125" style="35"/>
    <col min="11507" max="11507" width="24.7109375" style="35" customWidth="1"/>
    <col min="11508" max="11508" width="15.140625" style="35" customWidth="1"/>
    <col min="11509" max="11509" width="14.7109375" style="35" customWidth="1"/>
    <col min="11510" max="11510" width="16.7109375" style="35" customWidth="1"/>
    <col min="11511" max="11511" width="16.42578125" style="35" customWidth="1"/>
    <col min="11512" max="11512" width="17.42578125" style="35" customWidth="1"/>
    <col min="11513" max="11513" width="21.140625" style="35" customWidth="1"/>
    <col min="11514" max="11514" width="19.42578125" style="35" customWidth="1"/>
    <col min="11515" max="11749" width="11.42578125" style="35"/>
    <col min="11750" max="11750" width="38.7109375" style="35" customWidth="1"/>
    <col min="11751" max="11751" width="11.42578125" style="35"/>
    <col min="11752" max="11752" width="13.42578125" style="35" customWidth="1"/>
    <col min="11753" max="11753" width="8.42578125" style="35" customWidth="1"/>
    <col min="11754" max="11755" width="7" style="35" customWidth="1"/>
    <col min="11756" max="11762" width="11.42578125" style="35"/>
    <col min="11763" max="11763" width="24.7109375" style="35" customWidth="1"/>
    <col min="11764" max="11764" width="15.140625" style="35" customWidth="1"/>
    <col min="11765" max="11765" width="14.7109375" style="35" customWidth="1"/>
    <col min="11766" max="11766" width="16.7109375" style="35" customWidth="1"/>
    <col min="11767" max="11767" width="16.42578125" style="35" customWidth="1"/>
    <col min="11768" max="11768" width="17.42578125" style="35" customWidth="1"/>
    <col min="11769" max="11769" width="21.140625" style="35" customWidth="1"/>
    <col min="11770" max="11770" width="19.42578125" style="35" customWidth="1"/>
    <col min="11771" max="12005" width="11.42578125" style="35"/>
    <col min="12006" max="12006" width="38.7109375" style="35" customWidth="1"/>
    <col min="12007" max="12007" width="11.42578125" style="35"/>
    <col min="12008" max="12008" width="13.42578125" style="35" customWidth="1"/>
    <col min="12009" max="12009" width="8.42578125" style="35" customWidth="1"/>
    <col min="12010" max="12011" width="7" style="35" customWidth="1"/>
    <col min="12012" max="12018" width="11.42578125" style="35"/>
    <col min="12019" max="12019" width="24.7109375" style="35" customWidth="1"/>
    <col min="12020" max="12020" width="15.140625" style="35" customWidth="1"/>
    <col min="12021" max="12021" width="14.7109375" style="35" customWidth="1"/>
    <col min="12022" max="12022" width="16.7109375" style="35" customWidth="1"/>
    <col min="12023" max="12023" width="16.42578125" style="35" customWidth="1"/>
    <col min="12024" max="12024" width="17.42578125" style="35" customWidth="1"/>
    <col min="12025" max="12025" width="21.140625" style="35" customWidth="1"/>
    <col min="12026" max="12026" width="19.42578125" style="35" customWidth="1"/>
    <col min="12027" max="12261" width="11.42578125" style="35"/>
    <col min="12262" max="12262" width="38.7109375" style="35" customWidth="1"/>
    <col min="12263" max="12263" width="11.42578125" style="35"/>
    <col min="12264" max="12264" width="13.42578125" style="35" customWidth="1"/>
    <col min="12265" max="12265" width="8.42578125" style="35" customWidth="1"/>
    <col min="12266" max="12267" width="7" style="35" customWidth="1"/>
    <col min="12268" max="12274" width="11.42578125" style="35"/>
    <col min="12275" max="12275" width="24.7109375" style="35" customWidth="1"/>
    <col min="12276" max="12276" width="15.140625" style="35" customWidth="1"/>
    <col min="12277" max="12277" width="14.7109375" style="35" customWidth="1"/>
    <col min="12278" max="12278" width="16.7109375" style="35" customWidth="1"/>
    <col min="12279" max="12279" width="16.42578125" style="35" customWidth="1"/>
    <col min="12280" max="12280" width="17.42578125" style="35" customWidth="1"/>
    <col min="12281" max="12281" width="21.140625" style="35" customWidth="1"/>
    <col min="12282" max="12282" width="19.42578125" style="35" customWidth="1"/>
    <col min="12283" max="12517" width="11.42578125" style="35"/>
    <col min="12518" max="12518" width="38.7109375" style="35" customWidth="1"/>
    <col min="12519" max="12519" width="11.42578125" style="35"/>
    <col min="12520" max="12520" width="13.42578125" style="35" customWidth="1"/>
    <col min="12521" max="12521" width="8.42578125" style="35" customWidth="1"/>
    <col min="12522" max="12523" width="7" style="35" customWidth="1"/>
    <col min="12524" max="12530" width="11.42578125" style="35"/>
    <col min="12531" max="12531" width="24.7109375" style="35" customWidth="1"/>
    <col min="12532" max="12532" width="15.140625" style="35" customWidth="1"/>
    <col min="12533" max="12533" width="14.7109375" style="35" customWidth="1"/>
    <col min="12534" max="12534" width="16.7109375" style="35" customWidth="1"/>
    <col min="12535" max="12535" width="16.42578125" style="35" customWidth="1"/>
    <col min="12536" max="12536" width="17.42578125" style="35" customWidth="1"/>
    <col min="12537" max="12537" width="21.140625" style="35" customWidth="1"/>
    <col min="12538" max="12538" width="19.42578125" style="35" customWidth="1"/>
    <col min="12539" max="12773" width="11.42578125" style="35"/>
    <col min="12774" max="12774" width="38.7109375" style="35" customWidth="1"/>
    <col min="12775" max="12775" width="11.42578125" style="35"/>
    <col min="12776" max="12776" width="13.42578125" style="35" customWidth="1"/>
    <col min="12777" max="12777" width="8.42578125" style="35" customWidth="1"/>
    <col min="12778" max="12779" width="7" style="35" customWidth="1"/>
    <col min="12780" max="12786" width="11.42578125" style="35"/>
    <col min="12787" max="12787" width="24.7109375" style="35" customWidth="1"/>
    <col min="12788" max="12788" width="15.140625" style="35" customWidth="1"/>
    <col min="12789" max="12789" width="14.7109375" style="35" customWidth="1"/>
    <col min="12790" max="12790" width="16.7109375" style="35" customWidth="1"/>
    <col min="12791" max="12791" width="16.42578125" style="35" customWidth="1"/>
    <col min="12792" max="12792" width="17.42578125" style="35" customWidth="1"/>
    <col min="12793" max="12793" width="21.140625" style="35" customWidth="1"/>
    <col min="12794" max="12794" width="19.42578125" style="35" customWidth="1"/>
    <col min="12795" max="13029" width="11.42578125" style="35"/>
    <col min="13030" max="13030" width="38.7109375" style="35" customWidth="1"/>
    <col min="13031" max="13031" width="11.42578125" style="35"/>
    <col min="13032" max="13032" width="13.42578125" style="35" customWidth="1"/>
    <col min="13033" max="13033" width="8.42578125" style="35" customWidth="1"/>
    <col min="13034" max="13035" width="7" style="35" customWidth="1"/>
    <col min="13036" max="13042" width="11.42578125" style="35"/>
    <col min="13043" max="13043" width="24.7109375" style="35" customWidth="1"/>
    <col min="13044" max="13044" width="15.140625" style="35" customWidth="1"/>
    <col min="13045" max="13045" width="14.7109375" style="35" customWidth="1"/>
    <col min="13046" max="13046" width="16.7109375" style="35" customWidth="1"/>
    <col min="13047" max="13047" width="16.42578125" style="35" customWidth="1"/>
    <col min="13048" max="13048" width="17.42578125" style="35" customWidth="1"/>
    <col min="13049" max="13049" width="21.140625" style="35" customWidth="1"/>
    <col min="13050" max="13050" width="19.42578125" style="35" customWidth="1"/>
    <col min="13051" max="13285" width="11.42578125" style="35"/>
    <col min="13286" max="13286" width="38.7109375" style="35" customWidth="1"/>
    <col min="13287" max="13287" width="11.42578125" style="35"/>
    <col min="13288" max="13288" width="13.42578125" style="35" customWidth="1"/>
    <col min="13289" max="13289" width="8.42578125" style="35" customWidth="1"/>
    <col min="13290" max="13291" width="7" style="35" customWidth="1"/>
    <col min="13292" max="13298" width="11.42578125" style="35"/>
    <col min="13299" max="13299" width="24.7109375" style="35" customWidth="1"/>
    <col min="13300" max="13300" width="15.140625" style="35" customWidth="1"/>
    <col min="13301" max="13301" width="14.7109375" style="35" customWidth="1"/>
    <col min="13302" max="13302" width="16.7109375" style="35" customWidth="1"/>
    <col min="13303" max="13303" width="16.42578125" style="35" customWidth="1"/>
    <col min="13304" max="13304" width="17.42578125" style="35" customWidth="1"/>
    <col min="13305" max="13305" width="21.140625" style="35" customWidth="1"/>
    <col min="13306" max="13306" width="19.42578125" style="35" customWidth="1"/>
    <col min="13307" max="13541" width="11.42578125" style="35"/>
    <col min="13542" max="13542" width="38.7109375" style="35" customWidth="1"/>
    <col min="13543" max="13543" width="11.42578125" style="35"/>
    <col min="13544" max="13544" width="13.42578125" style="35" customWidth="1"/>
    <col min="13545" max="13545" width="8.42578125" style="35" customWidth="1"/>
    <col min="13546" max="13547" width="7" style="35" customWidth="1"/>
    <col min="13548" max="13554" width="11.42578125" style="35"/>
    <col min="13555" max="13555" width="24.7109375" style="35" customWidth="1"/>
    <col min="13556" max="13556" width="15.140625" style="35" customWidth="1"/>
    <col min="13557" max="13557" width="14.7109375" style="35" customWidth="1"/>
    <col min="13558" max="13558" width="16.7109375" style="35" customWidth="1"/>
    <col min="13559" max="13559" width="16.42578125" style="35" customWidth="1"/>
    <col min="13560" max="13560" width="17.42578125" style="35" customWidth="1"/>
    <col min="13561" max="13561" width="21.140625" style="35" customWidth="1"/>
    <col min="13562" max="13562" width="19.42578125" style="35" customWidth="1"/>
    <col min="13563" max="13797" width="11.42578125" style="35"/>
    <col min="13798" max="13798" width="38.7109375" style="35" customWidth="1"/>
    <col min="13799" max="13799" width="11.42578125" style="35"/>
    <col min="13800" max="13800" width="13.42578125" style="35" customWidth="1"/>
    <col min="13801" max="13801" width="8.42578125" style="35" customWidth="1"/>
    <col min="13802" max="13803" width="7" style="35" customWidth="1"/>
    <col min="13804" max="13810" width="11.42578125" style="35"/>
    <col min="13811" max="13811" width="24.7109375" style="35" customWidth="1"/>
    <col min="13812" max="13812" width="15.140625" style="35" customWidth="1"/>
    <col min="13813" max="13813" width="14.7109375" style="35" customWidth="1"/>
    <col min="13814" max="13814" width="16.7109375" style="35" customWidth="1"/>
    <col min="13815" max="13815" width="16.42578125" style="35" customWidth="1"/>
    <col min="13816" max="13816" width="17.42578125" style="35" customWidth="1"/>
    <col min="13817" max="13817" width="21.140625" style="35" customWidth="1"/>
    <col min="13818" max="13818" width="19.42578125" style="35" customWidth="1"/>
    <col min="13819" max="14053" width="11.42578125" style="35"/>
    <col min="14054" max="14054" width="38.7109375" style="35" customWidth="1"/>
    <col min="14055" max="14055" width="11.42578125" style="35"/>
    <col min="14056" max="14056" width="13.42578125" style="35" customWidth="1"/>
    <col min="14057" max="14057" width="8.42578125" style="35" customWidth="1"/>
    <col min="14058" max="14059" width="7" style="35" customWidth="1"/>
    <col min="14060" max="14066" width="11.42578125" style="35"/>
    <col min="14067" max="14067" width="24.7109375" style="35" customWidth="1"/>
    <col min="14068" max="14068" width="15.140625" style="35" customWidth="1"/>
    <col min="14069" max="14069" width="14.7109375" style="35" customWidth="1"/>
    <col min="14070" max="14070" width="16.7109375" style="35" customWidth="1"/>
    <col min="14071" max="14071" width="16.42578125" style="35" customWidth="1"/>
    <col min="14072" max="14072" width="17.42578125" style="35" customWidth="1"/>
    <col min="14073" max="14073" width="21.140625" style="35" customWidth="1"/>
    <col min="14074" max="14074" width="19.42578125" style="35" customWidth="1"/>
    <col min="14075" max="14309" width="11.42578125" style="35"/>
    <col min="14310" max="14310" width="38.7109375" style="35" customWidth="1"/>
    <col min="14311" max="14311" width="11.42578125" style="35"/>
    <col min="14312" max="14312" width="13.42578125" style="35" customWidth="1"/>
    <col min="14313" max="14313" width="8.42578125" style="35" customWidth="1"/>
    <col min="14314" max="14315" width="7" style="35" customWidth="1"/>
    <col min="14316" max="14322" width="11.42578125" style="35"/>
    <col min="14323" max="14323" width="24.7109375" style="35" customWidth="1"/>
    <col min="14324" max="14324" width="15.140625" style="35" customWidth="1"/>
    <col min="14325" max="14325" width="14.7109375" style="35" customWidth="1"/>
    <col min="14326" max="14326" width="16.7109375" style="35" customWidth="1"/>
    <col min="14327" max="14327" width="16.42578125" style="35" customWidth="1"/>
    <col min="14328" max="14328" width="17.42578125" style="35" customWidth="1"/>
    <col min="14329" max="14329" width="21.140625" style="35" customWidth="1"/>
    <col min="14330" max="14330" width="19.42578125" style="35" customWidth="1"/>
    <col min="14331" max="14565" width="11.42578125" style="35"/>
    <col min="14566" max="14566" width="38.7109375" style="35" customWidth="1"/>
    <col min="14567" max="14567" width="11.42578125" style="35"/>
    <col min="14568" max="14568" width="13.42578125" style="35" customWidth="1"/>
    <col min="14569" max="14569" width="8.42578125" style="35" customWidth="1"/>
    <col min="14570" max="14571" width="7" style="35" customWidth="1"/>
    <col min="14572" max="14578" width="11.42578125" style="35"/>
    <col min="14579" max="14579" width="24.7109375" style="35" customWidth="1"/>
    <col min="14580" max="14580" width="15.140625" style="35" customWidth="1"/>
    <col min="14581" max="14581" width="14.7109375" style="35" customWidth="1"/>
    <col min="14582" max="14582" width="16.7109375" style="35" customWidth="1"/>
    <col min="14583" max="14583" width="16.42578125" style="35" customWidth="1"/>
    <col min="14584" max="14584" width="17.42578125" style="35" customWidth="1"/>
    <col min="14585" max="14585" width="21.140625" style="35" customWidth="1"/>
    <col min="14586" max="14586" width="19.42578125" style="35" customWidth="1"/>
    <col min="14587" max="14821" width="11.42578125" style="35"/>
    <col min="14822" max="14822" width="38.7109375" style="35" customWidth="1"/>
    <col min="14823" max="14823" width="11.42578125" style="35"/>
    <col min="14824" max="14824" width="13.42578125" style="35" customWidth="1"/>
    <col min="14825" max="14825" width="8.42578125" style="35" customWidth="1"/>
    <col min="14826" max="14827" width="7" style="35" customWidth="1"/>
    <col min="14828" max="14834" width="11.42578125" style="35"/>
    <col min="14835" max="14835" width="24.7109375" style="35" customWidth="1"/>
    <col min="14836" max="14836" width="15.140625" style="35" customWidth="1"/>
    <col min="14837" max="14837" width="14.7109375" style="35" customWidth="1"/>
    <col min="14838" max="14838" width="16.7109375" style="35" customWidth="1"/>
    <col min="14839" max="14839" width="16.42578125" style="35" customWidth="1"/>
    <col min="14840" max="14840" width="17.42578125" style="35" customWidth="1"/>
    <col min="14841" max="14841" width="21.140625" style="35" customWidth="1"/>
    <col min="14842" max="14842" width="19.42578125" style="35" customWidth="1"/>
    <col min="14843" max="15077" width="11.42578125" style="35"/>
    <col min="15078" max="15078" width="38.7109375" style="35" customWidth="1"/>
    <col min="15079" max="15079" width="11.42578125" style="35"/>
    <col min="15080" max="15080" width="13.42578125" style="35" customWidth="1"/>
    <col min="15081" max="15081" width="8.42578125" style="35" customWidth="1"/>
    <col min="15082" max="15083" width="7" style="35" customWidth="1"/>
    <col min="15084" max="15090" width="11.42578125" style="35"/>
    <col min="15091" max="15091" width="24.7109375" style="35" customWidth="1"/>
    <col min="15092" max="15092" width="15.140625" style="35" customWidth="1"/>
    <col min="15093" max="15093" width="14.7109375" style="35" customWidth="1"/>
    <col min="15094" max="15094" width="16.7109375" style="35" customWidth="1"/>
    <col min="15095" max="15095" width="16.42578125" style="35" customWidth="1"/>
    <col min="15096" max="15096" width="17.42578125" style="35" customWidth="1"/>
    <col min="15097" max="15097" width="21.140625" style="35" customWidth="1"/>
    <col min="15098" max="15098" width="19.42578125" style="35" customWidth="1"/>
    <col min="15099" max="15333" width="11.42578125" style="35"/>
    <col min="15334" max="15334" width="38.7109375" style="35" customWidth="1"/>
    <col min="15335" max="15335" width="11.42578125" style="35"/>
    <col min="15336" max="15336" width="13.42578125" style="35" customWidth="1"/>
    <col min="15337" max="15337" width="8.42578125" style="35" customWidth="1"/>
    <col min="15338" max="15339" width="7" style="35" customWidth="1"/>
    <col min="15340" max="15346" width="11.42578125" style="35"/>
    <col min="15347" max="15347" width="24.7109375" style="35" customWidth="1"/>
    <col min="15348" max="15348" width="15.140625" style="35" customWidth="1"/>
    <col min="15349" max="15349" width="14.7109375" style="35" customWidth="1"/>
    <col min="15350" max="15350" width="16.7109375" style="35" customWidth="1"/>
    <col min="15351" max="15351" width="16.42578125" style="35" customWidth="1"/>
    <col min="15352" max="15352" width="17.42578125" style="35" customWidth="1"/>
    <col min="15353" max="15353" width="21.140625" style="35" customWidth="1"/>
    <col min="15354" max="15354" width="19.42578125" style="35" customWidth="1"/>
    <col min="15355" max="15589" width="11.42578125" style="35"/>
    <col min="15590" max="15590" width="38.7109375" style="35" customWidth="1"/>
    <col min="15591" max="15591" width="11.42578125" style="35"/>
    <col min="15592" max="15592" width="13.42578125" style="35" customWidth="1"/>
    <col min="15593" max="15593" width="8.42578125" style="35" customWidth="1"/>
    <col min="15594" max="15595" width="7" style="35" customWidth="1"/>
    <col min="15596" max="15602" width="11.42578125" style="35"/>
    <col min="15603" max="15603" width="24.7109375" style="35" customWidth="1"/>
    <col min="15604" max="15604" width="15.140625" style="35" customWidth="1"/>
    <col min="15605" max="15605" width="14.7109375" style="35" customWidth="1"/>
    <col min="15606" max="15606" width="16.7109375" style="35" customWidth="1"/>
    <col min="15607" max="15607" width="16.42578125" style="35" customWidth="1"/>
    <col min="15608" max="15608" width="17.42578125" style="35" customWidth="1"/>
    <col min="15609" max="15609" width="21.140625" style="35" customWidth="1"/>
    <col min="15610" max="15610" width="19.42578125" style="35" customWidth="1"/>
    <col min="15611" max="15845" width="11.42578125" style="35"/>
    <col min="15846" max="15846" width="38.7109375" style="35" customWidth="1"/>
    <col min="15847" max="15847" width="11.42578125" style="35"/>
    <col min="15848" max="15848" width="13.42578125" style="35" customWidth="1"/>
    <col min="15849" max="15849" width="8.42578125" style="35" customWidth="1"/>
    <col min="15850" max="15851" width="7" style="35" customWidth="1"/>
    <col min="15852" max="15858" width="11.42578125" style="35"/>
    <col min="15859" max="15859" width="24.7109375" style="35" customWidth="1"/>
    <col min="15860" max="15860" width="15.140625" style="35" customWidth="1"/>
    <col min="15861" max="15861" width="14.7109375" style="35" customWidth="1"/>
    <col min="15862" max="15862" width="16.7109375" style="35" customWidth="1"/>
    <col min="15863" max="15863" width="16.42578125" style="35" customWidth="1"/>
    <col min="15864" max="15864" width="17.42578125" style="35" customWidth="1"/>
    <col min="15865" max="15865" width="21.140625" style="35" customWidth="1"/>
    <col min="15866" max="15866" width="19.42578125" style="35" customWidth="1"/>
    <col min="15867" max="16101" width="11.42578125" style="35"/>
    <col min="16102" max="16102" width="38.7109375" style="35" customWidth="1"/>
    <col min="16103" max="16103" width="11.42578125" style="35"/>
    <col min="16104" max="16104" width="13.42578125" style="35" customWidth="1"/>
    <col min="16105" max="16105" width="8.42578125" style="35" customWidth="1"/>
    <col min="16106" max="16107" width="7" style="35" customWidth="1"/>
    <col min="16108" max="16114" width="11.42578125" style="35"/>
    <col min="16115" max="16115" width="24.7109375" style="35" customWidth="1"/>
    <col min="16116" max="16116" width="15.140625" style="35" customWidth="1"/>
    <col min="16117" max="16117" width="14.7109375" style="35" customWidth="1"/>
    <col min="16118" max="16118" width="16.7109375" style="35" customWidth="1"/>
    <col min="16119" max="16119" width="16.42578125" style="35" customWidth="1"/>
    <col min="16120" max="16120" width="17.42578125" style="35" customWidth="1"/>
    <col min="16121" max="16121" width="21.140625" style="35" customWidth="1"/>
    <col min="16122" max="16122" width="19.42578125" style="35" customWidth="1"/>
    <col min="16123" max="16384" width="11.42578125" style="35"/>
  </cols>
  <sheetData>
    <row r="1" spans="2:26" x14ac:dyDescent="0.2">
      <c r="F1" s="36"/>
      <c r="G1" s="36"/>
      <c r="H1" s="36" t="s">
        <v>89</v>
      </c>
      <c r="I1" s="37">
        <f>31.6</f>
        <v>31.6</v>
      </c>
      <c r="J1" s="38">
        <v>0.04</v>
      </c>
      <c r="K1" s="36"/>
      <c r="L1" s="36"/>
      <c r="M1" s="36"/>
      <c r="N1" s="36"/>
      <c r="O1" s="36"/>
      <c r="P1" s="36"/>
      <c r="Q1" s="36"/>
      <c r="R1" s="39">
        <f>+R7/S7</f>
        <v>1.3487475915221578E-3</v>
      </c>
      <c r="S1" s="36"/>
      <c r="T1" s="36"/>
    </row>
    <row r="2" spans="2:26" x14ac:dyDescent="0.2">
      <c r="F2" s="36"/>
      <c r="G2" s="36"/>
      <c r="H2" s="36" t="s">
        <v>90</v>
      </c>
      <c r="I2" s="37">
        <f>+I1-I3</f>
        <v>23.700000000000003</v>
      </c>
      <c r="J2" s="37"/>
      <c r="K2" s="36"/>
      <c r="L2" s="36"/>
      <c r="M2" s="36"/>
      <c r="N2" s="36"/>
      <c r="O2" s="36"/>
      <c r="P2" s="36"/>
      <c r="Q2" s="36"/>
      <c r="R2" s="40">
        <f>+R7/Q7</f>
        <v>0.76923076923076916</v>
      </c>
      <c r="S2" s="36"/>
      <c r="T2" s="36"/>
    </row>
    <row r="3" spans="2:26" ht="13.5" thickBot="1" x14ac:dyDescent="0.25">
      <c r="F3" s="36"/>
      <c r="G3" s="36"/>
      <c r="H3" s="36" t="s">
        <v>91</v>
      </c>
      <c r="I3" s="36">
        <f>+I1*$J$3</f>
        <v>7.9</v>
      </c>
      <c r="J3" s="41">
        <v>0.25</v>
      </c>
      <c r="K3" s="36"/>
      <c r="L3" s="36"/>
      <c r="M3" s="36"/>
      <c r="N3" s="36"/>
      <c r="O3" s="36"/>
      <c r="P3" s="36"/>
      <c r="Q3" s="36"/>
      <c r="R3" s="40"/>
      <c r="S3" s="36"/>
      <c r="T3" s="36"/>
    </row>
    <row r="4" spans="2:26" s="44" customFormat="1" ht="22.5" customHeight="1" thickBot="1" x14ac:dyDescent="0.3">
      <c r="B4" s="178" t="s">
        <v>92</v>
      </c>
      <c r="C4" s="180">
        <v>44481</v>
      </c>
      <c r="D4" s="182" t="s">
        <v>93</v>
      </c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4"/>
      <c r="S4" s="42"/>
      <c r="T4" s="42"/>
      <c r="U4" s="43"/>
      <c r="V4" s="43"/>
      <c r="W4" s="43"/>
      <c r="X4" s="43"/>
      <c r="Y4" s="43"/>
      <c r="Z4" s="43"/>
    </row>
    <row r="5" spans="2:26" ht="15" customHeight="1" thickBot="1" x14ac:dyDescent="0.25">
      <c r="B5" s="179"/>
      <c r="C5" s="181"/>
      <c r="D5" s="45" t="s">
        <v>94</v>
      </c>
      <c r="E5" s="185" t="s">
        <v>95</v>
      </c>
      <c r="F5" s="185"/>
      <c r="G5" s="186"/>
      <c r="H5" s="187" t="s">
        <v>96</v>
      </c>
      <c r="I5" s="188"/>
      <c r="J5" s="188"/>
      <c r="K5" s="188"/>
      <c r="L5" s="189"/>
      <c r="M5" s="190" t="s">
        <v>97</v>
      </c>
      <c r="N5" s="191"/>
      <c r="O5" s="191"/>
      <c r="P5" s="191"/>
      <c r="Q5" s="191"/>
      <c r="R5" s="192"/>
      <c r="S5" s="46"/>
      <c r="T5" s="46"/>
    </row>
    <row r="6" spans="2:26" s="61" customFormat="1" ht="48" thickBot="1" x14ac:dyDescent="0.3">
      <c r="B6" s="47"/>
      <c r="C6" s="48" t="s">
        <v>98</v>
      </c>
      <c r="D6" s="49" t="s">
        <v>99</v>
      </c>
      <c r="E6" s="50" t="s">
        <v>100</v>
      </c>
      <c r="F6" s="51" t="s">
        <v>101</v>
      </c>
      <c r="G6" s="52" t="s">
        <v>102</v>
      </c>
      <c r="H6" s="53" t="s">
        <v>103</v>
      </c>
      <c r="I6" s="53" t="s">
        <v>104</v>
      </c>
      <c r="J6" s="53" t="s">
        <v>105</v>
      </c>
      <c r="K6" s="54" t="s">
        <v>106</v>
      </c>
      <c r="L6" s="55" t="s">
        <v>107</v>
      </c>
      <c r="M6" s="56" t="s">
        <v>108</v>
      </c>
      <c r="N6" s="57" t="s">
        <v>109</v>
      </c>
      <c r="O6" s="57" t="s">
        <v>110</v>
      </c>
      <c r="P6" s="57" t="s">
        <v>111</v>
      </c>
      <c r="Q6" s="158" t="s">
        <v>112</v>
      </c>
      <c r="R6" s="159"/>
      <c r="S6" s="58" t="s">
        <v>113</v>
      </c>
      <c r="T6" s="58" t="s">
        <v>114</v>
      </c>
      <c r="U6" s="59"/>
      <c r="V6" s="60" t="s">
        <v>115</v>
      </c>
      <c r="W6" s="50" t="s">
        <v>116</v>
      </c>
      <c r="X6" s="50" t="s">
        <v>117</v>
      </c>
      <c r="Y6" s="51" t="s">
        <v>118</v>
      </c>
      <c r="Z6" s="52" t="s">
        <v>119</v>
      </c>
    </row>
    <row r="7" spans="2:26" ht="12.75" customHeight="1" thickBot="1" x14ac:dyDescent="0.25">
      <c r="B7" s="160" t="s">
        <v>120</v>
      </c>
      <c r="C7" s="62" t="s">
        <v>121</v>
      </c>
      <c r="D7" s="63">
        <f t="shared" ref="D7:D10" si="0">975-E7</f>
        <v>825</v>
      </c>
      <c r="E7" s="64">
        <v>150</v>
      </c>
      <c r="F7" s="65"/>
      <c r="G7" s="66"/>
      <c r="H7" s="67">
        <f t="shared" ref="H7:H19" si="1">(I7+J7+K7)/$J$1</f>
        <v>790</v>
      </c>
      <c r="I7" s="68"/>
      <c r="J7" s="68">
        <f t="shared" ref="J7:J12" si="2">+$I$2</f>
        <v>23.700000000000003</v>
      </c>
      <c r="K7" s="68">
        <f>+$I$3</f>
        <v>7.9</v>
      </c>
      <c r="L7" s="66">
        <v>20</v>
      </c>
      <c r="M7" s="69"/>
      <c r="N7" s="65">
        <v>10</v>
      </c>
      <c r="O7" s="65"/>
      <c r="P7" s="66"/>
      <c r="Q7" s="70">
        <v>1.82</v>
      </c>
      <c r="R7" s="71">
        <v>1.4</v>
      </c>
      <c r="S7" s="72">
        <f t="shared" ref="S7:S19" si="3">SUM(D7:G7,I7:P7,R7)</f>
        <v>1038</v>
      </c>
      <c r="T7" s="72">
        <v>2437</v>
      </c>
      <c r="U7" s="4"/>
      <c r="V7" s="5">
        <f t="shared" ref="V7:V19" si="4">+D7/S7</f>
        <v>0.7947976878612717</v>
      </c>
      <c r="W7" s="6">
        <f t="shared" ref="W7:W19" si="5">SUM(E7:G7)/S7</f>
        <v>0.14450867052023122</v>
      </c>
      <c r="X7" s="6">
        <f>SUM(I7:K7)/S7</f>
        <v>3.044315992292871E-2</v>
      </c>
      <c r="Y7" s="7">
        <f>+L7/S7</f>
        <v>1.9267822736030827E-2</v>
      </c>
      <c r="Z7" s="8">
        <f>SUM(M7:P7,R7)/S7</f>
        <v>1.0982658959537572E-2</v>
      </c>
    </row>
    <row r="8" spans="2:26" ht="12.75" customHeight="1" thickBot="1" x14ac:dyDescent="0.25">
      <c r="B8" s="161"/>
      <c r="C8" s="73" t="s">
        <v>122</v>
      </c>
      <c r="D8" s="74">
        <v>925</v>
      </c>
      <c r="E8" s="75">
        <v>50</v>
      </c>
      <c r="F8" s="76"/>
      <c r="G8" s="77"/>
      <c r="H8" s="78">
        <f t="shared" si="1"/>
        <v>790</v>
      </c>
      <c r="I8" s="79"/>
      <c r="J8" s="79">
        <f t="shared" si="2"/>
        <v>23.700000000000003</v>
      </c>
      <c r="K8" s="79">
        <f t="shared" ref="K8:K12" si="6">+$I$3</f>
        <v>7.9</v>
      </c>
      <c r="L8" s="77">
        <v>23</v>
      </c>
      <c r="M8" s="80"/>
      <c r="N8" s="76">
        <v>10</v>
      </c>
      <c r="O8" s="76"/>
      <c r="P8" s="77"/>
      <c r="Q8" s="81">
        <v>1.82</v>
      </c>
      <c r="R8" s="71">
        <v>1.4</v>
      </c>
      <c r="S8" s="83">
        <f t="shared" si="3"/>
        <v>1041</v>
      </c>
      <c r="T8" s="83">
        <v>2437</v>
      </c>
      <c r="U8" s="4"/>
      <c r="V8" s="9">
        <f t="shared" si="4"/>
        <v>0.88856868395773292</v>
      </c>
      <c r="W8" s="10">
        <f t="shared" si="5"/>
        <v>4.8030739673390971E-2</v>
      </c>
      <c r="X8" s="10">
        <f t="shared" ref="X8:X19" si="7">SUM(I8:K8)/S8</f>
        <v>3.0355427473583094E-2</v>
      </c>
      <c r="Y8" s="11">
        <f t="shared" ref="Y8:Y19" si="8">+L8/S8</f>
        <v>2.2094140249759846E-2</v>
      </c>
      <c r="Z8" s="12">
        <f t="shared" ref="Z8:Z19" si="9">SUM(M8:P8,R8)/S8</f>
        <v>1.0951008645533141E-2</v>
      </c>
    </row>
    <row r="9" spans="2:26" ht="12.75" customHeight="1" thickBot="1" x14ac:dyDescent="0.25">
      <c r="B9" s="161"/>
      <c r="C9" s="84" t="s">
        <v>123</v>
      </c>
      <c r="D9" s="74">
        <f t="shared" si="0"/>
        <v>825</v>
      </c>
      <c r="E9" s="75">
        <v>150</v>
      </c>
      <c r="F9" s="76"/>
      <c r="G9" s="77"/>
      <c r="H9" s="78">
        <f t="shared" si="1"/>
        <v>790</v>
      </c>
      <c r="I9" s="79"/>
      <c r="J9" s="79">
        <f t="shared" si="2"/>
        <v>23.700000000000003</v>
      </c>
      <c r="K9" s="79">
        <f t="shared" si="6"/>
        <v>7.9</v>
      </c>
      <c r="L9" s="77">
        <v>20</v>
      </c>
      <c r="M9" s="80"/>
      <c r="N9" s="76">
        <v>10</v>
      </c>
      <c r="O9" s="76"/>
      <c r="P9" s="77"/>
      <c r="Q9" s="81">
        <v>1.82</v>
      </c>
      <c r="R9" s="71">
        <v>1.4</v>
      </c>
      <c r="S9" s="85">
        <f t="shared" si="3"/>
        <v>1038</v>
      </c>
      <c r="T9" s="85">
        <v>1044</v>
      </c>
      <c r="U9" s="13">
        <f t="shared" ref="U9:U17" si="10">+L9*1.1</f>
        <v>22</v>
      </c>
      <c r="V9" s="9">
        <f t="shared" si="4"/>
        <v>0.7947976878612717</v>
      </c>
      <c r="W9" s="10">
        <f t="shared" si="5"/>
        <v>0.14450867052023122</v>
      </c>
      <c r="X9" s="10">
        <f t="shared" si="7"/>
        <v>3.044315992292871E-2</v>
      </c>
      <c r="Y9" s="11">
        <f t="shared" si="8"/>
        <v>1.9267822736030827E-2</v>
      </c>
      <c r="Z9" s="12">
        <f t="shared" si="9"/>
        <v>1.0982658959537572E-2</v>
      </c>
    </row>
    <row r="10" spans="2:26" ht="12.75" customHeight="1" thickBot="1" x14ac:dyDescent="0.25">
      <c r="B10" s="161"/>
      <c r="C10" s="84" t="s">
        <v>124</v>
      </c>
      <c r="D10" s="74">
        <f t="shared" si="0"/>
        <v>825</v>
      </c>
      <c r="E10" s="75">
        <v>150</v>
      </c>
      <c r="F10" s="76"/>
      <c r="G10" s="77"/>
      <c r="H10" s="78">
        <f t="shared" si="1"/>
        <v>790</v>
      </c>
      <c r="I10" s="79"/>
      <c r="J10" s="79">
        <f t="shared" si="2"/>
        <v>23.700000000000003</v>
      </c>
      <c r="K10" s="79">
        <f t="shared" si="6"/>
        <v>7.9</v>
      </c>
      <c r="L10" s="77">
        <v>20</v>
      </c>
      <c r="M10" s="80"/>
      <c r="N10" s="76">
        <v>10</v>
      </c>
      <c r="O10" s="76"/>
      <c r="P10" s="77"/>
      <c r="Q10" s="81">
        <v>1.82</v>
      </c>
      <c r="R10" s="71">
        <v>1.4</v>
      </c>
      <c r="S10" s="85">
        <f t="shared" si="3"/>
        <v>1038</v>
      </c>
      <c r="T10" s="85">
        <v>1044</v>
      </c>
      <c r="U10" s="13">
        <f t="shared" si="10"/>
        <v>22</v>
      </c>
      <c r="V10" s="9">
        <f t="shared" si="4"/>
        <v>0.7947976878612717</v>
      </c>
      <c r="W10" s="10">
        <f t="shared" si="5"/>
        <v>0.14450867052023122</v>
      </c>
      <c r="X10" s="10">
        <f t="shared" si="7"/>
        <v>3.044315992292871E-2</v>
      </c>
      <c r="Y10" s="11">
        <f t="shared" si="8"/>
        <v>1.9267822736030827E-2</v>
      </c>
      <c r="Z10" s="12">
        <f t="shared" si="9"/>
        <v>1.0982658959537572E-2</v>
      </c>
    </row>
    <row r="11" spans="2:26" ht="12.75" customHeight="1" x14ac:dyDescent="0.2">
      <c r="B11" s="161"/>
      <c r="C11" s="86" t="s">
        <v>125</v>
      </c>
      <c r="D11" s="87">
        <v>900</v>
      </c>
      <c r="E11" s="75">
        <v>50</v>
      </c>
      <c r="F11" s="76"/>
      <c r="G11" s="77"/>
      <c r="H11" s="78">
        <f t="shared" si="1"/>
        <v>790</v>
      </c>
      <c r="I11" s="79"/>
      <c r="J11" s="79">
        <v>31.6</v>
      </c>
      <c r="K11" s="79"/>
      <c r="L11" s="77">
        <v>23</v>
      </c>
      <c r="M11" s="80"/>
      <c r="N11" s="76">
        <v>10</v>
      </c>
      <c r="O11" s="76"/>
      <c r="P11" s="88">
        <v>25</v>
      </c>
      <c r="Q11" s="81">
        <v>1.82</v>
      </c>
      <c r="R11" s="71">
        <v>1.4</v>
      </c>
      <c r="S11" s="85">
        <f t="shared" si="3"/>
        <v>1041</v>
      </c>
      <c r="T11" s="85">
        <v>2437</v>
      </c>
      <c r="U11" s="13">
        <f t="shared" si="10"/>
        <v>25.3</v>
      </c>
      <c r="V11" s="9">
        <f t="shared" si="4"/>
        <v>0.86455331412103742</v>
      </c>
      <c r="W11" s="10">
        <f t="shared" si="5"/>
        <v>4.8030739673390971E-2</v>
      </c>
      <c r="X11" s="10">
        <f t="shared" si="7"/>
        <v>3.0355427473583094E-2</v>
      </c>
      <c r="Y11" s="11">
        <f t="shared" si="8"/>
        <v>2.2094140249759846E-2</v>
      </c>
      <c r="Z11" s="12">
        <f t="shared" si="9"/>
        <v>3.4966378482228624E-2</v>
      </c>
    </row>
    <row r="12" spans="2:26" ht="13.5" customHeight="1" thickBot="1" x14ac:dyDescent="0.25">
      <c r="B12" s="161"/>
      <c r="C12" s="89" t="s">
        <v>126</v>
      </c>
      <c r="D12" s="90">
        <v>900</v>
      </c>
      <c r="E12" s="91">
        <v>50</v>
      </c>
      <c r="F12" s="92"/>
      <c r="G12" s="93"/>
      <c r="H12" s="78">
        <f t="shared" si="1"/>
        <v>790</v>
      </c>
      <c r="I12" s="94"/>
      <c r="J12" s="94">
        <f t="shared" si="2"/>
        <v>23.700000000000003</v>
      </c>
      <c r="K12" s="95">
        <f t="shared" si="6"/>
        <v>7.9</v>
      </c>
      <c r="L12" s="93">
        <v>23</v>
      </c>
      <c r="M12" s="96"/>
      <c r="N12" s="92">
        <v>10</v>
      </c>
      <c r="O12" s="92"/>
      <c r="P12" s="97">
        <v>25</v>
      </c>
      <c r="Q12" s="98">
        <v>1.35</v>
      </c>
      <c r="R12" s="99">
        <f t="shared" ref="R12" si="11">Q12*0.88</f>
        <v>1.1880000000000002</v>
      </c>
      <c r="S12" s="100">
        <f t="shared" si="3"/>
        <v>1040.788</v>
      </c>
      <c r="T12" s="100">
        <v>1047</v>
      </c>
      <c r="U12" s="13">
        <f t="shared" si="10"/>
        <v>25.3</v>
      </c>
      <c r="V12" s="14">
        <f t="shared" si="4"/>
        <v>0.8647294165574545</v>
      </c>
      <c r="W12" s="15">
        <f t="shared" si="5"/>
        <v>4.8040523142080807E-2</v>
      </c>
      <c r="X12" s="15">
        <f t="shared" si="7"/>
        <v>3.0361610625795073E-2</v>
      </c>
      <c r="Y12" s="16">
        <f t="shared" si="8"/>
        <v>2.209864064535717E-2</v>
      </c>
      <c r="Z12" s="17">
        <f t="shared" si="9"/>
        <v>3.4769809029312405E-2</v>
      </c>
    </row>
    <row r="13" spans="2:26" ht="12.75" customHeight="1" x14ac:dyDescent="0.2">
      <c r="B13" s="161"/>
      <c r="C13" s="62" t="s">
        <v>127</v>
      </c>
      <c r="D13" s="63">
        <f>464-E13</f>
        <v>414</v>
      </c>
      <c r="E13" s="64">
        <v>50</v>
      </c>
      <c r="F13" s="65">
        <f>991-D13-E13</f>
        <v>527</v>
      </c>
      <c r="G13" s="66"/>
      <c r="H13" s="101">
        <f t="shared" si="1"/>
        <v>1969.5</v>
      </c>
      <c r="I13" s="102">
        <v>78.78</v>
      </c>
      <c r="J13" s="102"/>
      <c r="K13" s="68"/>
      <c r="L13" s="66"/>
      <c r="M13" s="69">
        <v>40</v>
      </c>
      <c r="N13" s="65">
        <v>1</v>
      </c>
      <c r="O13" s="65"/>
      <c r="P13" s="66"/>
      <c r="Q13" s="69"/>
      <c r="R13" s="71"/>
      <c r="S13" s="72">
        <f t="shared" si="3"/>
        <v>1110.78</v>
      </c>
      <c r="T13" s="72">
        <v>637</v>
      </c>
      <c r="U13" s="13">
        <f t="shared" si="10"/>
        <v>0</v>
      </c>
      <c r="V13" s="5">
        <f t="shared" si="4"/>
        <v>0.37271106789823366</v>
      </c>
      <c r="W13" s="6">
        <f t="shared" si="5"/>
        <v>0.51945479752966384</v>
      </c>
      <c r="X13" s="6">
        <f t="shared" si="7"/>
        <v>7.0923135094258086E-2</v>
      </c>
      <c r="Y13" s="7">
        <f t="shared" si="8"/>
        <v>0</v>
      </c>
      <c r="Z13" s="8">
        <f t="shared" si="9"/>
        <v>3.6910999477844396E-2</v>
      </c>
    </row>
    <row r="14" spans="2:26" ht="12.75" customHeight="1" x14ac:dyDescent="0.2">
      <c r="B14" s="161"/>
      <c r="C14" s="84" t="s">
        <v>128</v>
      </c>
      <c r="D14" s="74">
        <f>464-E14</f>
        <v>414</v>
      </c>
      <c r="E14" s="75">
        <v>50</v>
      </c>
      <c r="F14" s="76">
        <f>991-D14-E14</f>
        <v>527</v>
      </c>
      <c r="G14" s="77"/>
      <c r="H14" s="78">
        <f t="shared" si="1"/>
        <v>2067.9750000000004</v>
      </c>
      <c r="I14" s="103">
        <f>+I13*1.05</f>
        <v>82.719000000000008</v>
      </c>
      <c r="J14" s="104"/>
      <c r="K14" s="79"/>
      <c r="L14" s="77"/>
      <c r="M14" s="80">
        <v>15</v>
      </c>
      <c r="N14" s="76">
        <v>1</v>
      </c>
      <c r="O14" s="76"/>
      <c r="P14" s="77"/>
      <c r="Q14" s="80"/>
      <c r="R14" s="82"/>
      <c r="S14" s="85">
        <f t="shared" si="3"/>
        <v>1089.7190000000001</v>
      </c>
      <c r="T14" s="85">
        <v>637</v>
      </c>
      <c r="U14" s="13">
        <f t="shared" si="10"/>
        <v>0</v>
      </c>
      <c r="V14" s="9">
        <f t="shared" si="4"/>
        <v>0.37991445501087895</v>
      </c>
      <c r="W14" s="10">
        <f t="shared" si="5"/>
        <v>0.5294943008243409</v>
      </c>
      <c r="X14" s="10">
        <f t="shared" si="7"/>
        <v>7.590855991315193E-2</v>
      </c>
      <c r="Y14" s="11">
        <f t="shared" si="8"/>
        <v>0</v>
      </c>
      <c r="Z14" s="12">
        <f t="shared" si="9"/>
        <v>1.4682684251628171E-2</v>
      </c>
    </row>
    <row r="15" spans="2:26" ht="12.75" customHeight="1" x14ac:dyDescent="0.2">
      <c r="B15" s="161"/>
      <c r="C15" s="84" t="s">
        <v>129</v>
      </c>
      <c r="D15" s="74">
        <f>464-E15</f>
        <v>444</v>
      </c>
      <c r="E15" s="75">
        <v>20</v>
      </c>
      <c r="F15" s="76">
        <f>991-D15-E15</f>
        <v>527</v>
      </c>
      <c r="G15" s="77"/>
      <c r="H15" s="78">
        <f t="shared" si="1"/>
        <v>1969.5</v>
      </c>
      <c r="I15" s="103">
        <v>78.78</v>
      </c>
      <c r="J15" s="103"/>
      <c r="K15" s="79"/>
      <c r="L15" s="77"/>
      <c r="M15" s="80">
        <v>15</v>
      </c>
      <c r="N15" s="76">
        <v>1</v>
      </c>
      <c r="O15" s="76"/>
      <c r="P15" s="77"/>
      <c r="Q15" s="80"/>
      <c r="R15" s="82"/>
      <c r="S15" s="85">
        <f t="shared" si="3"/>
        <v>1085.78</v>
      </c>
      <c r="T15" s="85">
        <v>637</v>
      </c>
      <c r="U15" s="13">
        <f t="shared" si="10"/>
        <v>0</v>
      </c>
      <c r="V15" s="9">
        <f t="shared" si="4"/>
        <v>0.40892261784155171</v>
      </c>
      <c r="W15" s="10">
        <f t="shared" si="5"/>
        <v>0.50378529720569543</v>
      </c>
      <c r="X15" s="10">
        <f t="shared" si="7"/>
        <v>7.2556134760264512E-2</v>
      </c>
      <c r="Y15" s="11">
        <f t="shared" si="8"/>
        <v>0</v>
      </c>
      <c r="Z15" s="12">
        <f t="shared" si="9"/>
        <v>1.4735950192488349E-2</v>
      </c>
    </row>
    <row r="16" spans="2:26" ht="13.5" customHeight="1" thickBot="1" x14ac:dyDescent="0.25">
      <c r="B16" s="162"/>
      <c r="C16" s="105" t="s">
        <v>130</v>
      </c>
      <c r="D16" s="106">
        <f>464-E16</f>
        <v>444</v>
      </c>
      <c r="E16" s="107">
        <v>20</v>
      </c>
      <c r="F16" s="108">
        <f>991-D16-E16</f>
        <v>527</v>
      </c>
      <c r="G16" s="109"/>
      <c r="H16" s="110">
        <f t="shared" si="1"/>
        <v>2067.9750000000004</v>
      </c>
      <c r="I16" s="111">
        <f>+I15*1.05</f>
        <v>82.719000000000008</v>
      </c>
      <c r="J16" s="111"/>
      <c r="K16" s="94"/>
      <c r="L16" s="109"/>
      <c r="M16" s="112">
        <v>15</v>
      </c>
      <c r="N16" s="108">
        <v>1</v>
      </c>
      <c r="O16" s="108"/>
      <c r="P16" s="109"/>
      <c r="Q16" s="112"/>
      <c r="R16" s="113"/>
      <c r="S16" s="114">
        <f t="shared" si="3"/>
        <v>1089.7190000000001</v>
      </c>
      <c r="T16" s="114">
        <v>637</v>
      </c>
      <c r="U16" s="13">
        <f t="shared" si="10"/>
        <v>0</v>
      </c>
      <c r="V16" s="18">
        <f t="shared" si="4"/>
        <v>0.40744448798268174</v>
      </c>
      <c r="W16" s="19">
        <f t="shared" si="5"/>
        <v>0.50196426785253812</v>
      </c>
      <c r="X16" s="19">
        <f t="shared" si="7"/>
        <v>7.590855991315193E-2</v>
      </c>
      <c r="Y16" s="20">
        <f t="shared" si="8"/>
        <v>0</v>
      </c>
      <c r="Z16" s="21">
        <f t="shared" si="9"/>
        <v>1.4682684251628171E-2</v>
      </c>
    </row>
    <row r="17" spans="2:26" ht="12.75" customHeight="1" x14ac:dyDescent="0.2">
      <c r="B17" s="163" t="s">
        <v>131</v>
      </c>
      <c r="C17" s="115" t="s">
        <v>121</v>
      </c>
      <c r="D17" s="116">
        <f>975-E17</f>
        <v>825</v>
      </c>
      <c r="E17" s="117">
        <v>150</v>
      </c>
      <c r="F17" s="118"/>
      <c r="G17" s="119"/>
      <c r="H17" s="101">
        <f t="shared" si="1"/>
        <v>790</v>
      </c>
      <c r="I17" s="102"/>
      <c r="J17" s="102">
        <f>+$I$2</f>
        <v>23.700000000000003</v>
      </c>
      <c r="K17" s="120">
        <f>+$I$3</f>
        <v>7.9</v>
      </c>
      <c r="L17" s="119">
        <v>20</v>
      </c>
      <c r="M17" s="121"/>
      <c r="N17" s="118">
        <v>10</v>
      </c>
      <c r="O17" s="118"/>
      <c r="P17" s="119"/>
      <c r="Q17" s="122">
        <v>1.82</v>
      </c>
      <c r="R17" s="123">
        <v>1.4</v>
      </c>
      <c r="S17" s="72">
        <f t="shared" si="3"/>
        <v>1038</v>
      </c>
      <c r="T17" s="72">
        <v>2727</v>
      </c>
      <c r="U17" s="13">
        <f t="shared" si="10"/>
        <v>22</v>
      </c>
      <c r="V17" s="22">
        <f t="shared" si="4"/>
        <v>0.7947976878612717</v>
      </c>
      <c r="W17" s="23">
        <f t="shared" si="5"/>
        <v>0.14450867052023122</v>
      </c>
      <c r="X17" s="23">
        <f t="shared" si="7"/>
        <v>3.044315992292871E-2</v>
      </c>
      <c r="Y17" s="24">
        <f t="shared" si="8"/>
        <v>1.9267822736030827E-2</v>
      </c>
      <c r="Z17" s="25">
        <f t="shared" si="9"/>
        <v>1.0982658959537572E-2</v>
      </c>
    </row>
    <row r="18" spans="2:26" ht="12.75" customHeight="1" x14ac:dyDescent="0.2">
      <c r="B18" s="164"/>
      <c r="C18" s="73" t="s">
        <v>122</v>
      </c>
      <c r="D18" s="74">
        <v>925</v>
      </c>
      <c r="E18" s="75">
        <v>50</v>
      </c>
      <c r="F18" s="76"/>
      <c r="G18" s="77"/>
      <c r="H18" s="78">
        <f t="shared" si="1"/>
        <v>790</v>
      </c>
      <c r="I18" s="103"/>
      <c r="J18" s="103">
        <f>+$I$2</f>
        <v>23.700000000000003</v>
      </c>
      <c r="K18" s="79">
        <f>+$I$3</f>
        <v>7.9</v>
      </c>
      <c r="L18" s="77">
        <v>23</v>
      </c>
      <c r="M18" s="80"/>
      <c r="N18" s="76">
        <v>10</v>
      </c>
      <c r="O18" s="76"/>
      <c r="P18" s="77"/>
      <c r="Q18" s="81">
        <v>1.82</v>
      </c>
      <c r="R18" s="82">
        <v>1.4</v>
      </c>
      <c r="S18" s="83">
        <f t="shared" si="3"/>
        <v>1041</v>
      </c>
      <c r="T18" s="83">
        <v>2727</v>
      </c>
      <c r="U18" s="13"/>
      <c r="V18" s="26">
        <f t="shared" si="4"/>
        <v>0.88856868395773292</v>
      </c>
      <c r="W18" s="27">
        <f t="shared" si="5"/>
        <v>4.8030739673390971E-2</v>
      </c>
      <c r="X18" s="27">
        <f t="shared" si="7"/>
        <v>3.0355427473583094E-2</v>
      </c>
      <c r="Y18" s="28">
        <f t="shared" si="8"/>
        <v>2.2094140249759846E-2</v>
      </c>
      <c r="Z18" s="29">
        <f t="shared" si="9"/>
        <v>1.0951008645533141E-2</v>
      </c>
    </row>
    <row r="19" spans="2:26" ht="13.5" customHeight="1" thickBot="1" x14ac:dyDescent="0.25">
      <c r="B19" s="165"/>
      <c r="C19" s="124" t="s">
        <v>125</v>
      </c>
      <c r="D19" s="125">
        <v>900</v>
      </c>
      <c r="E19" s="126">
        <v>50</v>
      </c>
      <c r="F19" s="127"/>
      <c r="G19" s="128"/>
      <c r="H19" s="110">
        <f t="shared" si="1"/>
        <v>790</v>
      </c>
      <c r="I19" s="111"/>
      <c r="J19" s="111">
        <v>31.6</v>
      </c>
      <c r="K19" s="129"/>
      <c r="L19" s="128">
        <v>23</v>
      </c>
      <c r="M19" s="130"/>
      <c r="N19" s="127">
        <v>10</v>
      </c>
      <c r="O19" s="127"/>
      <c r="P19" s="131">
        <v>25</v>
      </c>
      <c r="Q19" s="132">
        <v>1.82</v>
      </c>
      <c r="R19" s="133">
        <v>1.4</v>
      </c>
      <c r="S19" s="114">
        <f t="shared" si="3"/>
        <v>1041</v>
      </c>
      <c r="T19" s="114">
        <v>2727</v>
      </c>
      <c r="U19" s="13"/>
      <c r="V19" s="30">
        <f t="shared" si="4"/>
        <v>0.86455331412103742</v>
      </c>
      <c r="W19" s="31">
        <f t="shared" si="5"/>
        <v>4.8030739673390971E-2</v>
      </c>
      <c r="X19" s="31">
        <f t="shared" si="7"/>
        <v>3.0355427473583094E-2</v>
      </c>
      <c r="Y19" s="32">
        <f t="shared" si="8"/>
        <v>2.2094140249759846E-2</v>
      </c>
      <c r="Z19" s="33">
        <f t="shared" si="9"/>
        <v>3.4966378482228624E-2</v>
      </c>
    </row>
    <row r="20" spans="2:26" ht="12.75" customHeight="1" x14ac:dyDescent="0.2">
      <c r="C20" s="36"/>
      <c r="D20" s="34">
        <f>D13/$S$13</f>
        <v>0.37271106789823366</v>
      </c>
      <c r="E20" s="34">
        <f t="shared" ref="E20:N20" si="12">E13/$S$13</f>
        <v>4.5013413997371216E-2</v>
      </c>
      <c r="F20" s="34">
        <f t="shared" si="12"/>
        <v>0.47444138353229265</v>
      </c>
      <c r="G20" s="34">
        <f t="shared" si="12"/>
        <v>0</v>
      </c>
      <c r="H20" s="34">
        <f>2068-1970</f>
        <v>98</v>
      </c>
      <c r="I20" s="34">
        <f t="shared" si="12"/>
        <v>7.0923135094258086E-2</v>
      </c>
      <c r="J20" s="34">
        <f t="shared" si="12"/>
        <v>0</v>
      </c>
      <c r="K20" s="34">
        <f t="shared" si="12"/>
        <v>0</v>
      </c>
      <c r="L20" s="34">
        <f t="shared" si="12"/>
        <v>0</v>
      </c>
      <c r="M20" s="34">
        <f t="shared" si="12"/>
        <v>3.6010731197896974E-2</v>
      </c>
      <c r="N20" s="34">
        <f t="shared" si="12"/>
        <v>9.0026827994742437E-4</v>
      </c>
      <c r="O20" s="36"/>
      <c r="P20" s="36"/>
      <c r="Q20" s="36"/>
      <c r="R20" s="40"/>
      <c r="S20" s="134"/>
      <c r="T20" s="134"/>
    </row>
    <row r="21" spans="2:26" ht="12.75" customHeight="1" x14ac:dyDescent="0.2">
      <c r="C21" s="36"/>
      <c r="D21" s="34">
        <f>D14/$S$14</f>
        <v>0.37991445501087895</v>
      </c>
      <c r="E21" s="34">
        <f t="shared" ref="E21:N21" si="13">E14/$S$14</f>
        <v>4.5883388286338034E-2</v>
      </c>
      <c r="F21" s="34">
        <f t="shared" si="13"/>
        <v>0.48361091253800287</v>
      </c>
      <c r="G21" s="34">
        <f t="shared" si="13"/>
        <v>0</v>
      </c>
      <c r="H21" s="34">
        <f t="shared" si="13"/>
        <v>1.8977139978287982</v>
      </c>
      <c r="I21" s="34">
        <f t="shared" si="13"/>
        <v>7.590855991315193E-2</v>
      </c>
      <c r="J21" s="34">
        <f t="shared" si="13"/>
        <v>0</v>
      </c>
      <c r="K21" s="34">
        <f t="shared" si="13"/>
        <v>0</v>
      </c>
      <c r="L21" s="34">
        <f t="shared" si="13"/>
        <v>0</v>
      </c>
      <c r="M21" s="34">
        <f t="shared" si="13"/>
        <v>1.3765016485901411E-2</v>
      </c>
      <c r="N21" s="34">
        <f t="shared" si="13"/>
        <v>9.1766776572676069E-4</v>
      </c>
      <c r="O21" s="36"/>
      <c r="P21" s="36"/>
      <c r="Q21" s="36"/>
      <c r="R21" s="40"/>
      <c r="S21" s="134"/>
      <c r="T21" s="134"/>
    </row>
    <row r="22" spans="2:26" ht="26.25" x14ac:dyDescent="0.2">
      <c r="B22" s="166" t="s">
        <v>132</v>
      </c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67"/>
      <c r="R22" s="167"/>
      <c r="S22" s="168"/>
      <c r="T22" s="141"/>
      <c r="V22" s="135">
        <f>+R17*0.95</f>
        <v>1.3299999999999998</v>
      </c>
    </row>
    <row r="23" spans="2:26" ht="26.25" x14ac:dyDescent="0.2"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1"/>
      <c r="T23" s="141"/>
      <c r="V23" s="135">
        <f>+Q7</f>
        <v>1.82</v>
      </c>
      <c r="W23" s="135">
        <f>+V23*0.95</f>
        <v>1.7289999999999999</v>
      </c>
    </row>
    <row r="24" spans="2:26" ht="26.25" x14ac:dyDescent="0.2">
      <c r="B24" s="172"/>
      <c r="C24" s="173"/>
      <c r="D24" s="173"/>
      <c r="E24" s="173"/>
      <c r="F24" s="173"/>
      <c r="G24" s="173"/>
      <c r="H24" s="173"/>
      <c r="I24" s="173"/>
      <c r="J24" s="173"/>
      <c r="K24" s="173"/>
      <c r="L24" s="173"/>
      <c r="M24" s="173"/>
      <c r="N24" s="173"/>
      <c r="O24" s="173"/>
      <c r="P24" s="173"/>
      <c r="Q24" s="173"/>
      <c r="R24" s="173"/>
      <c r="S24" s="174"/>
      <c r="T24" s="141"/>
      <c r="V24" s="135">
        <v>1.5</v>
      </c>
      <c r="W24" s="135">
        <f>+V24*0.9</f>
        <v>1.35</v>
      </c>
    </row>
    <row r="25" spans="2:26" ht="40.15" customHeight="1" x14ac:dyDescent="0.2">
      <c r="B25" s="175" t="s">
        <v>133</v>
      </c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/>
      <c r="N25" s="176"/>
      <c r="O25" s="176"/>
      <c r="P25" s="176"/>
      <c r="Q25" s="176"/>
      <c r="R25" s="176"/>
      <c r="S25" s="177"/>
      <c r="T25" s="136"/>
    </row>
    <row r="27" spans="2:26" x14ac:dyDescent="0.2">
      <c r="C27" s="36"/>
      <c r="D27" s="36"/>
      <c r="E27" s="137"/>
      <c r="F27" s="36"/>
      <c r="G27" s="36"/>
      <c r="H27" s="36"/>
      <c r="I27" s="36"/>
      <c r="J27" s="36"/>
      <c r="K27" s="36"/>
      <c r="M27" s="39">
        <f>+M14/S14</f>
        <v>1.3765016485901411E-2</v>
      </c>
    </row>
    <row r="28" spans="2:26" x14ac:dyDescent="0.2">
      <c r="C28" s="36"/>
      <c r="D28" s="36">
        <f>+D13</f>
        <v>414</v>
      </c>
      <c r="E28" s="36">
        <f>+E13+(F13*0.02)</f>
        <v>60.54</v>
      </c>
      <c r="F28" s="36">
        <f>+F13*0.98</f>
        <v>516.46</v>
      </c>
      <c r="G28" s="36"/>
      <c r="H28" s="138">
        <f>+(E28-E13)/E13</f>
        <v>0.21079999999999999</v>
      </c>
      <c r="I28" s="36"/>
      <c r="J28" s="36"/>
      <c r="K28" s="36"/>
      <c r="M28" s="39">
        <f>+M13/S13</f>
        <v>3.6010731197896974E-2</v>
      </c>
    </row>
    <row r="29" spans="2:26" x14ac:dyDescent="0.2">
      <c r="C29" s="36"/>
      <c r="D29" s="36"/>
      <c r="E29" s="137"/>
      <c r="F29" s="36"/>
      <c r="G29" s="36"/>
      <c r="H29" s="36"/>
      <c r="I29" s="36"/>
      <c r="J29" s="36"/>
      <c r="K29" s="36"/>
      <c r="M29" s="39">
        <f>+M14/S14</f>
        <v>1.3765016485901411E-2</v>
      </c>
    </row>
    <row r="30" spans="2:26" x14ac:dyDescent="0.2">
      <c r="D30" s="139"/>
      <c r="E30" s="140"/>
    </row>
    <row r="31" spans="2:26" x14ac:dyDescent="0.2">
      <c r="D31" s="139"/>
      <c r="E31" s="139"/>
    </row>
    <row r="32" spans="2:26" x14ac:dyDescent="0.2">
      <c r="D32" s="139"/>
    </row>
    <row r="33" spans="4:4" x14ac:dyDescent="0.2">
      <c r="D33" s="139"/>
    </row>
    <row r="34" spans="4:4" x14ac:dyDescent="0.2">
      <c r="D34" s="139"/>
    </row>
    <row r="35" spans="4:4" x14ac:dyDescent="0.2">
      <c r="D35" s="139"/>
    </row>
    <row r="36" spans="4:4" x14ac:dyDescent="0.2">
      <c r="D36" s="139"/>
    </row>
    <row r="37" spans="4:4" x14ac:dyDescent="0.2">
      <c r="D37" s="139"/>
    </row>
    <row r="38" spans="4:4" x14ac:dyDescent="0.2">
      <c r="D38" s="139"/>
    </row>
    <row r="39" spans="4:4" x14ac:dyDescent="0.2">
      <c r="D39" s="139"/>
    </row>
    <row r="40" spans="4:4" x14ac:dyDescent="0.2">
      <c r="D40" s="139"/>
    </row>
    <row r="41" spans="4:4" x14ac:dyDescent="0.2">
      <c r="D41" s="139"/>
    </row>
    <row r="42" spans="4:4" x14ac:dyDescent="0.2">
      <c r="D42" s="139"/>
    </row>
  </sheetData>
  <mergeCells count="11">
    <mergeCell ref="B4:B5"/>
    <mergeCell ref="C4:C5"/>
    <mergeCell ref="D4:R4"/>
    <mergeCell ref="E5:G5"/>
    <mergeCell ref="H5:L5"/>
    <mergeCell ref="M5:R5"/>
    <mergeCell ref="Q6:R6"/>
    <mergeCell ref="B7:B16"/>
    <mergeCell ref="B17:B19"/>
    <mergeCell ref="B22:S24"/>
    <mergeCell ref="B25:S25"/>
  </mergeCells>
  <printOptions horizontalCentered="1"/>
  <pageMargins left="0.23622047244094491" right="0.23622047244094491" top="0.74803149606299213" bottom="0.74803149606299213" header="0.31496062992125984" footer="0.31496062992125984"/>
  <pageSetup scale="6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DA58"/>
  <sheetViews>
    <sheetView workbookViewId="0">
      <selection sqref="A1:DA58"/>
    </sheetView>
  </sheetViews>
  <sheetFormatPr baseColWidth="10" defaultColWidth="10.7109375" defaultRowHeight="15" x14ac:dyDescent="0.25"/>
  <cols>
    <col min="4" max="4" width="19.5703125" customWidth="1"/>
    <col min="5" max="5" width="13" customWidth="1"/>
    <col min="10" max="10" width="17.5703125" customWidth="1"/>
    <col min="11" max="11" width="15" customWidth="1"/>
    <col min="12" max="12" width="15.85546875" customWidth="1"/>
    <col min="13" max="13" width="16.5703125" customWidth="1"/>
    <col min="14" max="14" width="17.7109375" customWidth="1"/>
    <col min="15" max="15" width="12.28515625" customWidth="1"/>
    <col min="16" max="16" width="17.5703125" customWidth="1"/>
    <col min="18" max="18" width="12.28515625" customWidth="1"/>
    <col min="20" max="20" width="14.5703125" customWidth="1"/>
    <col min="21" max="21" width="15.140625" customWidth="1"/>
    <col min="22" max="22" width="13.5703125" customWidth="1"/>
    <col min="24" max="25" width="11.85546875" customWidth="1"/>
    <col min="27" max="27" width="19.7109375" customWidth="1"/>
    <col min="28" max="28" width="17.7109375" customWidth="1"/>
    <col min="30" max="30" width="12.28515625" customWidth="1"/>
    <col min="31" max="31" width="28.7109375" customWidth="1"/>
    <col min="32" max="32" width="17.7109375" customWidth="1"/>
    <col min="33" max="33" width="27.85546875" customWidth="1"/>
    <col min="34" max="34" width="26.85546875" customWidth="1"/>
    <col min="35" max="36" width="27.85546875" customWidth="1"/>
    <col min="37" max="37" width="42.5703125" customWidth="1"/>
    <col min="38" max="41" width="16.7109375" customWidth="1"/>
    <col min="42" max="42" width="34.7109375" customWidth="1"/>
    <col min="44" max="44" width="19.85546875" customWidth="1"/>
    <col min="45" max="45" width="22.140625" customWidth="1"/>
    <col min="46" max="46" width="33.42578125" customWidth="1"/>
    <col min="47" max="47" width="34.7109375" customWidth="1"/>
    <col min="48" max="48" width="35.5703125" customWidth="1"/>
    <col min="49" max="49" width="33.5703125" customWidth="1"/>
    <col min="50" max="50" width="18.28515625" customWidth="1"/>
    <col min="51" max="51" width="24.85546875" customWidth="1"/>
    <col min="52" max="52" width="23" customWidth="1"/>
    <col min="53" max="54" width="27.140625" customWidth="1"/>
    <col min="55" max="55" width="38.42578125" customWidth="1"/>
    <col min="56" max="56" width="37.5703125" customWidth="1"/>
    <col min="58" max="58" width="15.28515625" customWidth="1"/>
    <col min="59" max="59" width="16.140625" customWidth="1"/>
    <col min="60" max="60" width="14.7109375" customWidth="1"/>
    <col min="61" max="61" width="21.42578125" customWidth="1"/>
    <col min="62" max="62" width="13.42578125" customWidth="1"/>
    <col min="63" max="63" width="18.5703125" customWidth="1"/>
    <col min="64" max="64" width="19.7109375" customWidth="1"/>
    <col min="65" max="65" width="23.85546875" customWidth="1"/>
    <col min="66" max="66" width="21.5703125" customWidth="1"/>
    <col min="67" max="67" width="21.85546875" customWidth="1"/>
    <col min="68" max="68" width="23.5703125" customWidth="1"/>
    <col min="69" max="69" width="25.140625" customWidth="1"/>
    <col min="70" max="70" width="19.5703125" customWidth="1"/>
    <col min="71" max="71" width="21.28515625" customWidth="1"/>
    <col min="72" max="72" width="16.42578125" customWidth="1"/>
    <col min="73" max="74" width="14.7109375" customWidth="1"/>
    <col min="75" max="75" width="14.140625" customWidth="1"/>
    <col min="76" max="76" width="17.5703125" customWidth="1"/>
    <col min="77" max="78" width="16.140625" customWidth="1"/>
    <col min="79" max="79" width="13.140625" customWidth="1"/>
    <col min="80" max="80" width="12.5703125" customWidth="1"/>
    <col min="81" max="81" width="14" customWidth="1"/>
    <col min="82" max="82" width="15" customWidth="1"/>
    <col min="88" max="88" width="13.5703125" customWidth="1"/>
    <col min="90" max="90" width="11.7109375" customWidth="1"/>
    <col min="92" max="92" width="11.85546875" customWidth="1"/>
    <col min="94" max="94" width="11.5703125" customWidth="1"/>
    <col min="95" max="95" width="21.7109375" customWidth="1"/>
    <col min="96" max="96" width="20.7109375" customWidth="1"/>
    <col min="97" max="97" width="19.7109375" customWidth="1"/>
    <col min="98" max="98" width="19.42578125" customWidth="1"/>
    <col min="99" max="99" width="20.140625" customWidth="1"/>
    <col min="100" max="100" width="21.28515625" customWidth="1"/>
    <col min="101" max="101" width="23" customWidth="1"/>
    <col min="102" max="102" width="22.28515625" customWidth="1"/>
    <col min="103" max="103" width="22" customWidth="1"/>
    <col min="104" max="104" width="35" customWidth="1"/>
    <col min="105" max="105" width="25.85546875" customWidth="1"/>
  </cols>
  <sheetData>
    <row r="1" spans="1:105" x14ac:dyDescent="0.25">
      <c r="A1" t="s">
        <v>0</v>
      </c>
      <c r="B1" t="s">
        <v>2</v>
      </c>
      <c r="C1" t="s">
        <v>3</v>
      </c>
      <c r="D1" t="s">
        <v>134</v>
      </c>
      <c r="E1" t="s">
        <v>135</v>
      </c>
      <c r="F1" t="s">
        <v>6</v>
      </c>
      <c r="G1" t="s">
        <v>44</v>
      </c>
      <c r="H1" t="s">
        <v>8</v>
      </c>
      <c r="I1" t="s">
        <v>9</v>
      </c>
      <c r="J1" t="s">
        <v>136</v>
      </c>
      <c r="K1" t="s">
        <v>137</v>
      </c>
      <c r="L1" t="s">
        <v>138</v>
      </c>
      <c r="M1" t="s">
        <v>139</v>
      </c>
      <c r="N1" t="s">
        <v>140</v>
      </c>
      <c r="O1" t="s">
        <v>141</v>
      </c>
      <c r="P1" t="s">
        <v>142</v>
      </c>
      <c r="Q1" t="s">
        <v>143</v>
      </c>
      <c r="R1" t="s">
        <v>144</v>
      </c>
      <c r="S1" t="s">
        <v>145</v>
      </c>
      <c r="T1" t="s">
        <v>146</v>
      </c>
      <c r="U1" t="s">
        <v>147</v>
      </c>
      <c r="V1" t="s">
        <v>148</v>
      </c>
      <c r="W1" t="s">
        <v>149</v>
      </c>
      <c r="X1" t="s">
        <v>150</v>
      </c>
      <c r="Y1" t="s">
        <v>151</v>
      </c>
      <c r="Z1" t="s">
        <v>152</v>
      </c>
      <c r="AA1" t="s">
        <v>153</v>
      </c>
      <c r="AB1" t="s">
        <v>154</v>
      </c>
      <c r="AC1" t="s">
        <v>155</v>
      </c>
      <c r="AD1" t="s">
        <v>156</v>
      </c>
      <c r="AE1" t="s">
        <v>157</v>
      </c>
      <c r="AF1" t="s">
        <v>158</v>
      </c>
      <c r="AG1" t="s">
        <v>159</v>
      </c>
      <c r="AH1" t="s">
        <v>160</v>
      </c>
      <c r="AI1" t="s">
        <v>161</v>
      </c>
      <c r="AJ1" t="s">
        <v>162</v>
      </c>
      <c r="AK1" t="s">
        <v>163</v>
      </c>
      <c r="AL1" t="s">
        <v>164</v>
      </c>
      <c r="AM1" t="s">
        <v>165</v>
      </c>
      <c r="AN1" t="s">
        <v>166</v>
      </c>
      <c r="AO1" t="s">
        <v>167</v>
      </c>
      <c r="AP1" t="s">
        <v>168</v>
      </c>
      <c r="AQ1" t="s">
        <v>169</v>
      </c>
      <c r="AR1" t="s">
        <v>170</v>
      </c>
      <c r="AS1" t="s">
        <v>171</v>
      </c>
      <c r="AT1" t="s">
        <v>172</v>
      </c>
      <c r="AU1" t="s">
        <v>173</v>
      </c>
      <c r="AV1" t="s">
        <v>174</v>
      </c>
      <c r="AW1" t="s">
        <v>175</v>
      </c>
      <c r="AX1" t="s">
        <v>176</v>
      </c>
      <c r="AY1" t="s">
        <v>177</v>
      </c>
      <c r="AZ1" t="s">
        <v>178</v>
      </c>
      <c r="BA1" t="s">
        <v>179</v>
      </c>
      <c r="BB1" t="s">
        <v>180</v>
      </c>
      <c r="BC1" t="s">
        <v>181</v>
      </c>
      <c r="BD1" t="s">
        <v>82</v>
      </c>
      <c r="BE1" t="s">
        <v>182</v>
      </c>
      <c r="BF1" t="s">
        <v>183</v>
      </c>
      <c r="BG1" t="s">
        <v>21</v>
      </c>
      <c r="BH1" t="s">
        <v>184</v>
      </c>
      <c r="BI1" t="s">
        <v>185</v>
      </c>
      <c r="BJ1" t="s">
        <v>186</v>
      </c>
      <c r="BK1" t="s">
        <v>187</v>
      </c>
      <c r="BL1" t="s">
        <v>188</v>
      </c>
      <c r="BM1" t="s">
        <v>189</v>
      </c>
      <c r="BN1" t="s">
        <v>190</v>
      </c>
      <c r="BO1" t="s">
        <v>191</v>
      </c>
      <c r="BP1" t="s">
        <v>45</v>
      </c>
      <c r="BQ1" t="s">
        <v>46</v>
      </c>
      <c r="BR1" t="s">
        <v>47</v>
      </c>
      <c r="BS1" t="s">
        <v>192</v>
      </c>
      <c r="BT1" t="s">
        <v>193</v>
      </c>
      <c r="BU1" t="s">
        <v>194</v>
      </c>
      <c r="BV1" t="s">
        <v>195</v>
      </c>
      <c r="BW1" t="s">
        <v>196</v>
      </c>
      <c r="BX1" t="s">
        <v>197</v>
      </c>
      <c r="BY1" t="s">
        <v>54</v>
      </c>
      <c r="BZ1" t="s">
        <v>55</v>
      </c>
      <c r="CA1" t="s">
        <v>198</v>
      </c>
      <c r="CB1" t="s">
        <v>199</v>
      </c>
      <c r="CC1" t="s">
        <v>200</v>
      </c>
      <c r="CD1" t="s">
        <v>59</v>
      </c>
      <c r="CE1" t="s">
        <v>201</v>
      </c>
      <c r="CF1" t="s">
        <v>83</v>
      </c>
      <c r="CG1" t="s">
        <v>84</v>
      </c>
      <c r="CH1" t="s">
        <v>85</v>
      </c>
      <c r="CI1" t="s">
        <v>86</v>
      </c>
      <c r="CJ1" t="s">
        <v>202</v>
      </c>
      <c r="CK1" t="s">
        <v>203</v>
      </c>
      <c r="CL1" t="s">
        <v>204</v>
      </c>
      <c r="CM1" t="s">
        <v>205</v>
      </c>
      <c r="CN1" t="s">
        <v>206</v>
      </c>
      <c r="CO1" t="s">
        <v>207</v>
      </c>
      <c r="CP1" t="s">
        <v>87</v>
      </c>
      <c r="CQ1" t="s">
        <v>208</v>
      </c>
      <c r="CR1" t="s">
        <v>209</v>
      </c>
      <c r="CS1" t="s">
        <v>210</v>
      </c>
      <c r="CT1" t="s">
        <v>211</v>
      </c>
      <c r="CU1" t="s">
        <v>212</v>
      </c>
      <c r="CV1" t="s">
        <v>213</v>
      </c>
      <c r="CW1" t="s">
        <v>214</v>
      </c>
      <c r="CX1" t="s">
        <v>215</v>
      </c>
      <c r="CY1" t="s">
        <v>216</v>
      </c>
      <c r="CZ1" t="s">
        <v>217</v>
      </c>
      <c r="DA1" t="s">
        <v>218</v>
      </c>
    </row>
    <row r="2" spans="1:105" x14ac:dyDescent="0.25">
      <c r="A2">
        <v>22</v>
      </c>
      <c r="B2" s="1">
        <v>44345</v>
      </c>
      <c r="C2" s="2">
        <v>0.90625</v>
      </c>
      <c r="D2">
        <v>2726</v>
      </c>
      <c r="E2" t="s">
        <v>219</v>
      </c>
      <c r="F2" t="s">
        <v>220</v>
      </c>
      <c r="G2">
        <v>2</v>
      </c>
      <c r="H2">
        <v>46</v>
      </c>
      <c r="I2">
        <v>2</v>
      </c>
      <c r="J2" t="s">
        <v>39</v>
      </c>
      <c r="K2">
        <v>21931</v>
      </c>
      <c r="M2" t="s">
        <v>221</v>
      </c>
      <c r="N2" t="s">
        <v>222</v>
      </c>
      <c r="O2" t="s">
        <v>223</v>
      </c>
      <c r="Q2">
        <v>825</v>
      </c>
      <c r="R2">
        <v>150</v>
      </c>
      <c r="U2">
        <v>31.6</v>
      </c>
      <c r="W2">
        <v>20</v>
      </c>
      <c r="Y2">
        <v>10</v>
      </c>
      <c r="Z2">
        <v>2714</v>
      </c>
      <c r="AA2">
        <v>1036.5999999999999</v>
      </c>
      <c r="AB2">
        <v>0.22989576402750053</v>
      </c>
      <c r="AC2" t="s">
        <v>40</v>
      </c>
      <c r="AD2">
        <v>2</v>
      </c>
      <c r="AE2">
        <v>43</v>
      </c>
      <c r="AF2" t="s">
        <v>224</v>
      </c>
      <c r="AG2">
        <v>5.2</v>
      </c>
      <c r="AH2">
        <v>5.2</v>
      </c>
      <c r="AI2">
        <v>5.2</v>
      </c>
      <c r="AJ2">
        <v>5.2</v>
      </c>
      <c r="AK2">
        <v>5.2</v>
      </c>
      <c r="AL2">
        <v>40</v>
      </c>
      <c r="AM2">
        <v>44</v>
      </c>
      <c r="AN2">
        <v>46</v>
      </c>
      <c r="AO2">
        <v>54</v>
      </c>
      <c r="AP2">
        <v>46</v>
      </c>
      <c r="AQ2">
        <v>4</v>
      </c>
      <c r="AR2">
        <v>79</v>
      </c>
      <c r="AS2">
        <v>70</v>
      </c>
      <c r="AT2">
        <v>2.4</v>
      </c>
      <c r="AU2">
        <v>15.1</v>
      </c>
      <c r="AV2">
        <v>15.1</v>
      </c>
      <c r="AW2">
        <v>5.3</v>
      </c>
      <c r="AX2">
        <v>0.08</v>
      </c>
      <c r="AY2">
        <v>5</v>
      </c>
      <c r="AZ2">
        <v>5</v>
      </c>
      <c r="BA2">
        <v>83</v>
      </c>
      <c r="BB2">
        <v>85</v>
      </c>
      <c r="BC2">
        <v>82</v>
      </c>
      <c r="BD2" s="2">
        <v>0.30208333333333331</v>
      </c>
      <c r="BE2">
        <v>20</v>
      </c>
      <c r="BF2" t="s">
        <v>42</v>
      </c>
      <c r="BG2" t="s">
        <v>225</v>
      </c>
      <c r="BH2">
        <v>17</v>
      </c>
      <c r="BI2" t="s">
        <v>43</v>
      </c>
      <c r="BJ2" t="s">
        <v>226</v>
      </c>
      <c r="BK2">
        <v>304.8</v>
      </c>
      <c r="BL2">
        <v>92.6</v>
      </c>
      <c r="BM2">
        <v>3</v>
      </c>
      <c r="BN2" t="s">
        <v>40</v>
      </c>
      <c r="BS2">
        <v>3.6200000000000003E-2</v>
      </c>
      <c r="BT2">
        <v>84</v>
      </c>
      <c r="BY2">
        <v>0.50549999999999995</v>
      </c>
      <c r="CA2">
        <v>0.2601</v>
      </c>
      <c r="CB2">
        <v>5.3</v>
      </c>
      <c r="CC2">
        <v>1.86</v>
      </c>
      <c r="CM2">
        <v>5.9999999999999995E-4</v>
      </c>
    </row>
    <row r="3" spans="1:105" x14ac:dyDescent="0.25">
      <c r="A3">
        <v>22</v>
      </c>
      <c r="B3" s="1">
        <v>44345</v>
      </c>
      <c r="C3" s="2">
        <v>0.81944444444444453</v>
      </c>
      <c r="D3">
        <v>2726</v>
      </c>
      <c r="E3" t="s">
        <v>219</v>
      </c>
      <c r="F3" t="s">
        <v>220</v>
      </c>
      <c r="G3">
        <v>2</v>
      </c>
      <c r="H3">
        <v>37</v>
      </c>
      <c r="I3">
        <v>2</v>
      </c>
      <c r="J3" t="s">
        <v>39</v>
      </c>
      <c r="K3">
        <v>21931</v>
      </c>
      <c r="M3" t="s">
        <v>221</v>
      </c>
      <c r="N3" t="s">
        <v>222</v>
      </c>
      <c r="O3" t="s">
        <v>223</v>
      </c>
      <c r="Q3">
        <v>825</v>
      </c>
      <c r="R3">
        <v>150</v>
      </c>
      <c r="U3">
        <v>31.6</v>
      </c>
      <c r="W3">
        <v>20</v>
      </c>
      <c r="Y3">
        <v>10</v>
      </c>
      <c r="Z3">
        <v>2714</v>
      </c>
      <c r="AA3">
        <v>1036.5999999999999</v>
      </c>
      <c r="AB3">
        <v>0.22989576402750053</v>
      </c>
      <c r="AC3">
        <v>0.2445</v>
      </c>
      <c r="AD3">
        <v>2</v>
      </c>
      <c r="AE3">
        <v>43</v>
      </c>
      <c r="AF3" t="s">
        <v>224</v>
      </c>
      <c r="AG3">
        <v>4.7</v>
      </c>
      <c r="AH3">
        <v>4.7</v>
      </c>
      <c r="AI3">
        <v>4.7</v>
      </c>
      <c r="AJ3">
        <v>4.7</v>
      </c>
      <c r="AK3">
        <v>4.7</v>
      </c>
      <c r="AL3">
        <v>48</v>
      </c>
      <c r="AM3">
        <v>54</v>
      </c>
      <c r="AN3">
        <v>58</v>
      </c>
      <c r="AO3">
        <v>60</v>
      </c>
      <c r="AP3">
        <v>55</v>
      </c>
      <c r="AQ3">
        <v>4</v>
      </c>
      <c r="AR3">
        <v>79</v>
      </c>
      <c r="AS3">
        <v>70</v>
      </c>
      <c r="AT3">
        <v>2.5</v>
      </c>
      <c r="AU3">
        <v>15</v>
      </c>
      <c r="AV3">
        <v>14.7</v>
      </c>
      <c r="AW3">
        <v>5.0999999999999996</v>
      </c>
      <c r="AX3">
        <v>0.08</v>
      </c>
      <c r="AY3">
        <v>5</v>
      </c>
      <c r="AZ3">
        <v>5</v>
      </c>
      <c r="BA3">
        <v>83</v>
      </c>
      <c r="BB3">
        <v>85</v>
      </c>
      <c r="BC3">
        <v>82</v>
      </c>
      <c r="BD3" s="2">
        <v>0.40277777777777773</v>
      </c>
      <c r="BE3">
        <v>8</v>
      </c>
      <c r="BF3" t="s">
        <v>42</v>
      </c>
      <c r="BG3" t="s">
        <v>227</v>
      </c>
      <c r="BH3">
        <v>17</v>
      </c>
      <c r="BI3" t="s">
        <v>43</v>
      </c>
      <c r="BJ3" t="s">
        <v>226</v>
      </c>
      <c r="BK3">
        <v>304.7</v>
      </c>
      <c r="BL3">
        <v>92.5</v>
      </c>
      <c r="BM3">
        <v>2</v>
      </c>
      <c r="BN3" t="s">
        <v>40</v>
      </c>
      <c r="BO3">
        <v>1689.54</v>
      </c>
      <c r="BP3">
        <v>7.5700000000000003E-2</v>
      </c>
      <c r="BS3">
        <v>3.7699999999999997E-2</v>
      </c>
      <c r="BT3">
        <v>82</v>
      </c>
      <c r="BU3">
        <v>1.6999999999999999E-3</v>
      </c>
      <c r="BV3">
        <v>1.1999999999999999E-3</v>
      </c>
      <c r="BW3">
        <v>1.6999999999999999E-3</v>
      </c>
      <c r="BX3">
        <v>9.9000000000000008E-3</v>
      </c>
      <c r="BY3">
        <v>0.48020000000000002</v>
      </c>
      <c r="CA3">
        <v>0.26100000000000001</v>
      </c>
      <c r="CB3">
        <v>5.3</v>
      </c>
      <c r="CC3">
        <v>1.87</v>
      </c>
      <c r="CD3">
        <v>1.0049999999999999</v>
      </c>
      <c r="CE3">
        <v>8.09E-2</v>
      </c>
      <c r="CF3">
        <v>2.0500000000000001E-2</v>
      </c>
      <c r="CG3">
        <v>2.01E-2</v>
      </c>
      <c r="CH3">
        <v>2.1999999999999999E-2</v>
      </c>
      <c r="CI3">
        <v>2.3900000000000001E-2</v>
      </c>
      <c r="CJ3">
        <v>1.9900000000000001E-2</v>
      </c>
      <c r="CK3">
        <v>1.6799999999999999E-2</v>
      </c>
      <c r="CL3">
        <v>3.789E-2</v>
      </c>
      <c r="CM3">
        <v>5.8999999999999999E-3</v>
      </c>
      <c r="CN3">
        <v>0.2445</v>
      </c>
      <c r="CO3">
        <v>0.23710000000000001</v>
      </c>
      <c r="CP3">
        <v>0.2228</v>
      </c>
      <c r="CQ3">
        <v>0.72799999999999998</v>
      </c>
      <c r="CR3">
        <v>9.4499999999999993</v>
      </c>
      <c r="CS3">
        <v>1.0023</v>
      </c>
      <c r="CT3">
        <v>1.32</v>
      </c>
      <c r="CU3">
        <v>1.0025999999999999</v>
      </c>
      <c r="CV3">
        <v>1.42</v>
      </c>
      <c r="CW3">
        <v>1.0038</v>
      </c>
      <c r="CX3">
        <v>0.17</v>
      </c>
      <c r="CY3" t="s">
        <v>228</v>
      </c>
      <c r="CZ3">
        <v>7.05</v>
      </c>
      <c r="DA3">
        <v>30.42</v>
      </c>
    </row>
    <row r="4" spans="1:105" x14ac:dyDescent="0.25">
      <c r="A4">
        <v>22</v>
      </c>
      <c r="B4" s="1">
        <v>44345</v>
      </c>
      <c r="C4" s="2">
        <v>0.64930555555555558</v>
      </c>
      <c r="D4">
        <v>2726</v>
      </c>
      <c r="E4" t="s">
        <v>219</v>
      </c>
      <c r="F4" t="s">
        <v>220</v>
      </c>
      <c r="G4">
        <v>2</v>
      </c>
      <c r="H4">
        <v>26</v>
      </c>
      <c r="I4">
        <v>2</v>
      </c>
      <c r="J4" t="s">
        <v>39</v>
      </c>
      <c r="K4">
        <v>21931</v>
      </c>
      <c r="M4" t="s">
        <v>221</v>
      </c>
      <c r="N4" t="s">
        <v>222</v>
      </c>
      <c r="O4" t="s">
        <v>223</v>
      </c>
      <c r="Q4">
        <v>825</v>
      </c>
      <c r="R4">
        <v>150</v>
      </c>
      <c r="U4">
        <v>31.6</v>
      </c>
      <c r="W4">
        <v>20</v>
      </c>
      <c r="Y4">
        <v>10</v>
      </c>
      <c r="Z4">
        <v>2714</v>
      </c>
      <c r="AA4">
        <v>1036.5999999999999</v>
      </c>
      <c r="AB4">
        <v>0.22989576402750053</v>
      </c>
      <c r="AC4" t="s">
        <v>40</v>
      </c>
      <c r="AD4">
        <v>2</v>
      </c>
      <c r="AE4">
        <v>42</v>
      </c>
      <c r="AF4" t="s">
        <v>224</v>
      </c>
      <c r="AG4">
        <v>4.4000000000000004</v>
      </c>
      <c r="AH4">
        <v>4.4000000000000004</v>
      </c>
      <c r="AI4">
        <v>4.4000000000000004</v>
      </c>
      <c r="AJ4">
        <v>4.4000000000000004</v>
      </c>
      <c r="AK4">
        <v>4.4000000000000004</v>
      </c>
      <c r="AL4">
        <v>64</v>
      </c>
      <c r="AM4">
        <v>62</v>
      </c>
      <c r="AN4">
        <v>68</v>
      </c>
      <c r="AO4">
        <v>66</v>
      </c>
      <c r="AP4">
        <v>65</v>
      </c>
      <c r="AQ4">
        <v>4</v>
      </c>
      <c r="AR4">
        <v>80</v>
      </c>
      <c r="AS4">
        <v>69</v>
      </c>
      <c r="AT4">
        <v>2.6</v>
      </c>
      <c r="AU4">
        <v>15.3</v>
      </c>
      <c r="AV4">
        <v>14.1</v>
      </c>
      <c r="AW4">
        <v>4.5999999999999996</v>
      </c>
      <c r="AX4">
        <v>0.1699</v>
      </c>
      <c r="AY4">
        <v>5</v>
      </c>
      <c r="AZ4">
        <v>5</v>
      </c>
      <c r="BA4">
        <v>83</v>
      </c>
      <c r="BB4">
        <v>85</v>
      </c>
      <c r="BC4">
        <v>82</v>
      </c>
      <c r="BD4" s="2">
        <v>0.44097222222222227</v>
      </c>
      <c r="BE4">
        <v>118</v>
      </c>
      <c r="BF4" t="s">
        <v>229</v>
      </c>
      <c r="BG4" t="s">
        <v>230</v>
      </c>
      <c r="BH4">
        <v>17</v>
      </c>
      <c r="BI4" t="s">
        <v>43</v>
      </c>
      <c r="BJ4" t="s">
        <v>231</v>
      </c>
      <c r="BK4">
        <v>304.60000000000002</v>
      </c>
      <c r="BL4">
        <v>92.6</v>
      </c>
      <c r="BM4">
        <v>2</v>
      </c>
      <c r="BN4" t="s">
        <v>40</v>
      </c>
      <c r="BS4">
        <v>3.7699999999999997E-2</v>
      </c>
      <c r="BT4">
        <v>78</v>
      </c>
      <c r="BY4">
        <v>0.54379999999999995</v>
      </c>
      <c r="CA4">
        <v>0.2671</v>
      </c>
      <c r="CB4">
        <v>5.0599999999999996</v>
      </c>
      <c r="CC4">
        <v>1.86</v>
      </c>
      <c r="CM4">
        <v>5.0000000000000001E-4</v>
      </c>
    </row>
    <row r="5" spans="1:105" x14ac:dyDescent="0.25">
      <c r="A5">
        <v>22</v>
      </c>
      <c r="B5" s="1">
        <v>44345</v>
      </c>
      <c r="C5" s="2">
        <v>0.5625</v>
      </c>
      <c r="D5">
        <v>2726</v>
      </c>
      <c r="E5" t="s">
        <v>219</v>
      </c>
      <c r="F5" t="s">
        <v>220</v>
      </c>
      <c r="G5">
        <v>2</v>
      </c>
      <c r="H5">
        <v>16</v>
      </c>
      <c r="I5">
        <v>1</v>
      </c>
      <c r="J5" t="s">
        <v>39</v>
      </c>
      <c r="K5">
        <v>21931</v>
      </c>
      <c r="M5" t="s">
        <v>221</v>
      </c>
      <c r="N5" t="s">
        <v>222</v>
      </c>
      <c r="O5" t="s">
        <v>223</v>
      </c>
      <c r="Q5">
        <v>825</v>
      </c>
      <c r="R5">
        <v>150</v>
      </c>
      <c r="U5">
        <v>31.6</v>
      </c>
      <c r="W5">
        <v>20</v>
      </c>
      <c r="Y5">
        <v>10</v>
      </c>
      <c r="Z5">
        <v>2714</v>
      </c>
      <c r="AA5">
        <v>1036.5999999999999</v>
      </c>
      <c r="AB5">
        <v>0.22989576402750053</v>
      </c>
      <c r="AC5" t="s">
        <v>40</v>
      </c>
      <c r="AD5">
        <v>2</v>
      </c>
      <c r="AE5">
        <v>42</v>
      </c>
      <c r="AF5" t="s">
        <v>224</v>
      </c>
      <c r="AG5">
        <v>4.4000000000000004</v>
      </c>
      <c r="AH5">
        <v>4.4000000000000004</v>
      </c>
      <c r="AI5">
        <v>4.3</v>
      </c>
      <c r="AJ5">
        <v>4.3</v>
      </c>
      <c r="AK5">
        <v>4.3500000000000005</v>
      </c>
      <c r="AL5">
        <v>80</v>
      </c>
      <c r="AM5">
        <v>68</v>
      </c>
      <c r="AN5">
        <v>76</v>
      </c>
      <c r="AO5">
        <v>74</v>
      </c>
      <c r="AP5">
        <v>74.5</v>
      </c>
      <c r="AQ5">
        <v>4</v>
      </c>
      <c r="AR5">
        <v>79</v>
      </c>
      <c r="AS5">
        <v>70</v>
      </c>
      <c r="AT5">
        <v>2.6</v>
      </c>
      <c r="AU5">
        <v>15.5</v>
      </c>
      <c r="AV5">
        <v>15.2</v>
      </c>
      <c r="AW5">
        <v>5.2</v>
      </c>
      <c r="AX5">
        <v>0.19259999999999999</v>
      </c>
      <c r="AY5">
        <v>7</v>
      </c>
      <c r="AZ5">
        <v>5</v>
      </c>
      <c r="BA5">
        <v>83</v>
      </c>
      <c r="BB5">
        <v>85</v>
      </c>
      <c r="BC5">
        <v>82</v>
      </c>
      <c r="BD5" s="2">
        <v>0.42708333333333331</v>
      </c>
      <c r="BE5">
        <v>101</v>
      </c>
      <c r="BF5" t="s">
        <v>229</v>
      </c>
      <c r="BG5" t="s">
        <v>232</v>
      </c>
      <c r="BH5">
        <v>17</v>
      </c>
      <c r="BI5" t="s">
        <v>43</v>
      </c>
      <c r="BJ5" t="s">
        <v>231</v>
      </c>
      <c r="BK5">
        <v>304.7</v>
      </c>
      <c r="BL5">
        <v>92.2</v>
      </c>
      <c r="BM5">
        <v>2</v>
      </c>
      <c r="BN5" t="s">
        <v>40</v>
      </c>
      <c r="BS5">
        <v>3.73E-2</v>
      </c>
      <c r="BT5">
        <v>78</v>
      </c>
      <c r="BU5">
        <v>1.8E-3</v>
      </c>
      <c r="BV5">
        <v>1.1999999999999999E-3</v>
      </c>
      <c r="BW5">
        <v>1.8E-3</v>
      </c>
      <c r="BX5">
        <v>1.04E-2</v>
      </c>
      <c r="BY5">
        <v>0.54479999999999995</v>
      </c>
      <c r="CA5">
        <v>0.27160000000000001</v>
      </c>
      <c r="CB5">
        <v>5.07</v>
      </c>
      <c r="CC5">
        <v>1.84</v>
      </c>
      <c r="CM5">
        <v>2.3E-3</v>
      </c>
    </row>
    <row r="6" spans="1:105" x14ac:dyDescent="0.25">
      <c r="A6">
        <v>22</v>
      </c>
      <c r="B6" s="1">
        <v>44345</v>
      </c>
      <c r="C6" s="2">
        <v>0.4375</v>
      </c>
      <c r="D6">
        <v>2726</v>
      </c>
      <c r="E6" t="s">
        <v>219</v>
      </c>
      <c r="F6" t="s">
        <v>220</v>
      </c>
      <c r="G6">
        <v>2</v>
      </c>
      <c r="H6">
        <v>9</v>
      </c>
      <c r="I6">
        <v>1</v>
      </c>
      <c r="J6" t="s">
        <v>39</v>
      </c>
      <c r="K6">
        <v>21931</v>
      </c>
      <c r="M6" t="s">
        <v>221</v>
      </c>
      <c r="N6" t="s">
        <v>222</v>
      </c>
      <c r="O6" t="s">
        <v>223</v>
      </c>
      <c r="Q6">
        <v>825</v>
      </c>
      <c r="R6">
        <v>150</v>
      </c>
      <c r="U6">
        <v>31.6</v>
      </c>
      <c r="W6">
        <v>20</v>
      </c>
      <c r="Y6">
        <v>10</v>
      </c>
      <c r="Z6">
        <v>2714</v>
      </c>
      <c r="AA6">
        <v>1036.5999999999999</v>
      </c>
      <c r="AB6">
        <v>0.22989576402750053</v>
      </c>
      <c r="AC6" t="s">
        <v>40</v>
      </c>
      <c r="AD6">
        <v>2</v>
      </c>
      <c r="AE6">
        <v>42</v>
      </c>
      <c r="AF6" t="s">
        <v>224</v>
      </c>
      <c r="AG6">
        <v>3.5</v>
      </c>
      <c r="AH6">
        <v>3.6</v>
      </c>
      <c r="AJ6">
        <v>3.6</v>
      </c>
      <c r="AK6">
        <v>3.5666666666666664</v>
      </c>
      <c r="AL6">
        <v>62</v>
      </c>
      <c r="AM6">
        <v>60</v>
      </c>
      <c r="AO6">
        <v>66</v>
      </c>
      <c r="AP6">
        <v>62.666666666666664</v>
      </c>
      <c r="AQ6">
        <v>4</v>
      </c>
      <c r="AR6">
        <v>64</v>
      </c>
      <c r="AS6">
        <v>69</v>
      </c>
      <c r="AT6">
        <v>2.5</v>
      </c>
      <c r="AU6">
        <v>14</v>
      </c>
      <c r="AV6">
        <v>13.8</v>
      </c>
      <c r="AW6">
        <v>7.5</v>
      </c>
      <c r="AX6">
        <v>0.2888</v>
      </c>
      <c r="AY6">
        <v>7</v>
      </c>
      <c r="AZ6">
        <v>5</v>
      </c>
      <c r="BA6">
        <v>83</v>
      </c>
      <c r="BB6">
        <v>85</v>
      </c>
      <c r="BC6">
        <v>82</v>
      </c>
      <c r="BD6" s="2">
        <v>0.3659722222222222</v>
      </c>
      <c r="BE6">
        <v>92</v>
      </c>
      <c r="BF6" t="s">
        <v>229</v>
      </c>
      <c r="BG6" t="s">
        <v>233</v>
      </c>
      <c r="BH6">
        <v>17</v>
      </c>
      <c r="BI6" t="s">
        <v>43</v>
      </c>
      <c r="BJ6" t="s">
        <v>231</v>
      </c>
      <c r="BK6">
        <v>304.7</v>
      </c>
      <c r="BL6">
        <v>92.7</v>
      </c>
      <c r="BM6">
        <v>1</v>
      </c>
      <c r="BN6" t="s">
        <v>40</v>
      </c>
      <c r="BQ6">
        <v>3.6600000000000001E-2</v>
      </c>
      <c r="BR6">
        <v>78</v>
      </c>
      <c r="BS6">
        <v>3.9600000000000003E-2</v>
      </c>
      <c r="BT6">
        <v>81</v>
      </c>
      <c r="BU6">
        <v>1.8E-3</v>
      </c>
      <c r="BV6">
        <v>1.5E-3</v>
      </c>
      <c r="BW6">
        <v>1.8E-3</v>
      </c>
      <c r="BX6">
        <v>1.04E-2</v>
      </c>
      <c r="BY6">
        <v>0.4945</v>
      </c>
      <c r="CA6">
        <v>0.2767</v>
      </c>
      <c r="CB6">
        <v>4.9800000000000004</v>
      </c>
      <c r="CC6">
        <v>1.86</v>
      </c>
      <c r="CM6">
        <v>1.21E-2</v>
      </c>
    </row>
    <row r="7" spans="1:105" x14ac:dyDescent="0.25">
      <c r="A7">
        <v>22</v>
      </c>
      <c r="B7" s="1">
        <v>44345</v>
      </c>
      <c r="C7" s="2">
        <v>0.31805555555555554</v>
      </c>
      <c r="D7">
        <v>2726</v>
      </c>
      <c r="E7" t="s">
        <v>219</v>
      </c>
      <c r="F7" t="s">
        <v>234</v>
      </c>
      <c r="G7">
        <v>2</v>
      </c>
      <c r="H7">
        <v>1</v>
      </c>
      <c r="I7">
        <v>1</v>
      </c>
      <c r="J7" t="s">
        <v>39</v>
      </c>
      <c r="K7">
        <v>21931</v>
      </c>
      <c r="M7" t="s">
        <v>221</v>
      </c>
      <c r="N7" t="s">
        <v>222</v>
      </c>
      <c r="O7" t="s">
        <v>223</v>
      </c>
      <c r="Q7">
        <v>825</v>
      </c>
      <c r="R7">
        <v>150</v>
      </c>
      <c r="U7">
        <v>31.6</v>
      </c>
      <c r="W7">
        <v>20</v>
      </c>
      <c r="Y7">
        <v>10</v>
      </c>
      <c r="Z7">
        <v>2714</v>
      </c>
      <c r="AA7">
        <v>1036.5999999999999</v>
      </c>
      <c r="AB7">
        <v>0.22989576402750053</v>
      </c>
      <c r="AC7">
        <v>0.23469999999999999</v>
      </c>
      <c r="AD7">
        <v>2</v>
      </c>
      <c r="AE7">
        <v>41</v>
      </c>
      <c r="AF7" t="s">
        <v>224</v>
      </c>
      <c r="AG7">
        <v>3.3</v>
      </c>
      <c r="AH7">
        <v>3.2</v>
      </c>
      <c r="AJ7">
        <v>3.2</v>
      </c>
      <c r="AK7">
        <v>3.2333333333333329</v>
      </c>
      <c r="AL7">
        <v>65</v>
      </c>
      <c r="AM7">
        <v>64</v>
      </c>
      <c r="AN7">
        <v>62</v>
      </c>
      <c r="AO7">
        <v>64</v>
      </c>
      <c r="AP7">
        <v>63.75</v>
      </c>
      <c r="AQ7">
        <v>5</v>
      </c>
      <c r="AR7">
        <v>65</v>
      </c>
      <c r="AS7">
        <v>69</v>
      </c>
      <c r="AT7">
        <v>3.2</v>
      </c>
      <c r="AU7">
        <v>13.4</v>
      </c>
      <c r="AV7">
        <v>13.5</v>
      </c>
      <c r="AW7">
        <v>8.1</v>
      </c>
      <c r="AX7">
        <v>0.55559999999999998</v>
      </c>
      <c r="AY7">
        <v>7</v>
      </c>
      <c r="AZ7">
        <v>5</v>
      </c>
      <c r="BA7">
        <v>83</v>
      </c>
      <c r="BB7">
        <v>85</v>
      </c>
      <c r="BC7">
        <v>82</v>
      </c>
      <c r="BD7" s="2">
        <v>0.34583333333333338</v>
      </c>
      <c r="BE7">
        <v>79</v>
      </c>
      <c r="BF7" t="s">
        <v>229</v>
      </c>
      <c r="BG7" t="s">
        <v>235</v>
      </c>
      <c r="BH7">
        <v>17</v>
      </c>
      <c r="BI7" t="s">
        <v>43</v>
      </c>
      <c r="BJ7" t="s">
        <v>231</v>
      </c>
      <c r="BK7">
        <v>304.89999999999998</v>
      </c>
      <c r="BL7">
        <v>92.9</v>
      </c>
      <c r="BM7">
        <v>4</v>
      </c>
      <c r="BN7" t="s">
        <v>40</v>
      </c>
      <c r="BO7">
        <v>1680.14</v>
      </c>
      <c r="BP7">
        <v>0.13250000000000001</v>
      </c>
      <c r="BS7">
        <v>3.8800000000000001E-2</v>
      </c>
      <c r="BT7">
        <v>78</v>
      </c>
      <c r="BU7">
        <v>2.0999999999999999E-3</v>
      </c>
      <c r="BV7">
        <v>1.6999999999999999E-3</v>
      </c>
      <c r="BW7">
        <v>2.0999999999999999E-3</v>
      </c>
      <c r="BX7">
        <v>1.0999999999999999E-2</v>
      </c>
      <c r="BY7">
        <v>0.54290000000000005</v>
      </c>
      <c r="CA7">
        <v>0.26440000000000002</v>
      </c>
      <c r="CB7">
        <v>4.72</v>
      </c>
      <c r="CC7">
        <v>1.86</v>
      </c>
      <c r="CD7">
        <v>1.044</v>
      </c>
      <c r="CE7">
        <v>7.1400000000000005E-2</v>
      </c>
      <c r="CF7">
        <v>2.93E-2</v>
      </c>
      <c r="CG7">
        <v>2.8000000000000001E-2</v>
      </c>
      <c r="CI7">
        <v>2.81E-2</v>
      </c>
      <c r="CJ7">
        <v>2.8500000000000001E-2</v>
      </c>
      <c r="CK7">
        <v>1.6400000000000001E-2</v>
      </c>
      <c r="CL7">
        <v>3.6600000000000001E-2</v>
      </c>
      <c r="CM7">
        <v>2.9999999999999997E-4</v>
      </c>
      <c r="CN7">
        <v>0.23469999999999999</v>
      </c>
      <c r="CO7">
        <v>0.26029999999999998</v>
      </c>
      <c r="CP7">
        <v>0.28199999999999997</v>
      </c>
      <c r="CQ7">
        <v>0.71499999999999997</v>
      </c>
      <c r="CR7">
        <v>8.58</v>
      </c>
      <c r="CS7">
        <v>1.0041</v>
      </c>
      <c r="CT7">
        <v>2.3199999999999998</v>
      </c>
      <c r="CU7">
        <v>1.0034000000000001</v>
      </c>
      <c r="CV7">
        <v>0.45</v>
      </c>
      <c r="CW7">
        <v>1.0047999999999999</v>
      </c>
      <c r="CX7">
        <v>0.23</v>
      </c>
      <c r="CY7" t="s">
        <v>228</v>
      </c>
      <c r="CZ7">
        <v>7.54</v>
      </c>
    </row>
    <row r="8" spans="1:105" x14ac:dyDescent="0.25">
      <c r="A8">
        <v>22</v>
      </c>
      <c r="B8" s="1">
        <v>44345</v>
      </c>
      <c r="C8" s="2">
        <v>0.16041666666666668</v>
      </c>
      <c r="D8">
        <v>2726</v>
      </c>
      <c r="E8" t="s">
        <v>219</v>
      </c>
      <c r="F8" t="s">
        <v>234</v>
      </c>
      <c r="G8">
        <v>2</v>
      </c>
      <c r="H8">
        <v>105</v>
      </c>
      <c r="I8">
        <v>5</v>
      </c>
      <c r="J8" t="s">
        <v>39</v>
      </c>
      <c r="K8">
        <v>22042</v>
      </c>
      <c r="M8" t="s">
        <v>221</v>
      </c>
      <c r="N8" t="s">
        <v>222</v>
      </c>
      <c r="O8" t="s">
        <v>236</v>
      </c>
      <c r="Q8">
        <v>825</v>
      </c>
      <c r="R8">
        <v>150</v>
      </c>
      <c r="U8">
        <v>23.7</v>
      </c>
      <c r="W8">
        <v>20</v>
      </c>
      <c r="Y8">
        <v>10</v>
      </c>
      <c r="Z8">
        <v>2714</v>
      </c>
      <c r="AA8">
        <v>1028.7</v>
      </c>
      <c r="AB8">
        <v>0.23859445668560827</v>
      </c>
      <c r="AC8" t="s">
        <v>40</v>
      </c>
      <c r="AD8">
        <v>2</v>
      </c>
      <c r="AE8">
        <v>41</v>
      </c>
      <c r="AF8" t="s">
        <v>224</v>
      </c>
      <c r="AG8">
        <v>4.3</v>
      </c>
      <c r="AH8">
        <v>4.3</v>
      </c>
      <c r="AI8">
        <v>4.3</v>
      </c>
      <c r="AJ8">
        <v>4.3</v>
      </c>
      <c r="AK8">
        <v>4.3</v>
      </c>
      <c r="AL8">
        <v>52</v>
      </c>
      <c r="AM8">
        <v>60</v>
      </c>
      <c r="AN8">
        <v>62</v>
      </c>
      <c r="AO8">
        <v>56</v>
      </c>
      <c r="AP8">
        <v>57.5</v>
      </c>
      <c r="AQ8">
        <v>4</v>
      </c>
      <c r="AR8">
        <v>77</v>
      </c>
      <c r="AS8">
        <v>71</v>
      </c>
      <c r="AT8">
        <v>2.4</v>
      </c>
      <c r="AU8">
        <v>14.9</v>
      </c>
      <c r="AV8">
        <v>15.2</v>
      </c>
      <c r="AW8">
        <v>7.7</v>
      </c>
      <c r="AX8">
        <v>7.0800000000000002E-2</v>
      </c>
      <c r="AY8">
        <v>5</v>
      </c>
      <c r="AZ8">
        <v>5</v>
      </c>
      <c r="BA8">
        <v>83</v>
      </c>
      <c r="BB8">
        <v>85</v>
      </c>
      <c r="BC8">
        <v>82</v>
      </c>
      <c r="BF8" t="s">
        <v>237</v>
      </c>
      <c r="BH8">
        <v>17</v>
      </c>
      <c r="BI8" t="s">
        <v>43</v>
      </c>
      <c r="BJ8" t="s">
        <v>238</v>
      </c>
      <c r="BK8">
        <v>304.2</v>
      </c>
      <c r="BL8">
        <v>92</v>
      </c>
      <c r="BM8">
        <v>1</v>
      </c>
      <c r="BN8" t="s">
        <v>40</v>
      </c>
      <c r="BS8">
        <v>3.8600000000000002E-2</v>
      </c>
      <c r="BT8">
        <v>78</v>
      </c>
      <c r="BY8">
        <v>0.4546</v>
      </c>
      <c r="CA8">
        <v>0.25700000000000001</v>
      </c>
      <c r="CB8">
        <v>5.44</v>
      </c>
      <c r="CC8">
        <v>1.84</v>
      </c>
      <c r="CM8">
        <v>6.9999999999999999E-4</v>
      </c>
    </row>
    <row r="9" spans="1:105" x14ac:dyDescent="0.25">
      <c r="A9">
        <v>22</v>
      </c>
      <c r="B9" s="1">
        <v>44345</v>
      </c>
      <c r="C9" s="2">
        <v>6.25E-2</v>
      </c>
      <c r="D9">
        <v>2726</v>
      </c>
      <c r="E9" t="s">
        <v>219</v>
      </c>
      <c r="F9" t="s">
        <v>234</v>
      </c>
      <c r="G9">
        <v>2</v>
      </c>
      <c r="H9">
        <v>92</v>
      </c>
      <c r="I9">
        <v>4</v>
      </c>
      <c r="J9" t="s">
        <v>39</v>
      </c>
      <c r="K9">
        <v>22042</v>
      </c>
      <c r="M9" t="s">
        <v>221</v>
      </c>
      <c r="N9" t="s">
        <v>222</v>
      </c>
      <c r="O9" t="s">
        <v>236</v>
      </c>
      <c r="Q9">
        <v>825</v>
      </c>
      <c r="R9">
        <v>150</v>
      </c>
      <c r="U9">
        <v>23.7</v>
      </c>
      <c r="W9">
        <v>20</v>
      </c>
      <c r="Y9">
        <v>10</v>
      </c>
      <c r="Z9">
        <v>2714</v>
      </c>
      <c r="AA9">
        <v>1028.7</v>
      </c>
      <c r="AB9">
        <v>0.23859445668560827</v>
      </c>
      <c r="AC9" t="s">
        <v>40</v>
      </c>
      <c r="AD9">
        <v>2</v>
      </c>
      <c r="AE9">
        <v>41</v>
      </c>
      <c r="AF9" t="s">
        <v>224</v>
      </c>
      <c r="AG9">
        <v>4.5</v>
      </c>
      <c r="AH9">
        <v>4.5</v>
      </c>
      <c r="AI9">
        <v>4.5</v>
      </c>
      <c r="AJ9">
        <v>4.5</v>
      </c>
      <c r="AK9">
        <v>4.5</v>
      </c>
      <c r="AL9">
        <v>50</v>
      </c>
      <c r="AM9">
        <v>62</v>
      </c>
      <c r="AN9">
        <v>64</v>
      </c>
      <c r="AO9">
        <v>52</v>
      </c>
      <c r="AP9">
        <v>57</v>
      </c>
      <c r="AQ9">
        <v>4</v>
      </c>
      <c r="AR9">
        <v>77</v>
      </c>
      <c r="AS9">
        <v>71</v>
      </c>
      <c r="AT9">
        <v>2.4</v>
      </c>
      <c r="AU9">
        <v>14.9</v>
      </c>
      <c r="AV9">
        <v>15.2</v>
      </c>
      <c r="AW9">
        <v>7.2</v>
      </c>
      <c r="AX9">
        <v>7.0900000000000005E-2</v>
      </c>
      <c r="AY9">
        <v>5</v>
      </c>
      <c r="AZ9">
        <v>5</v>
      </c>
      <c r="BA9">
        <v>83</v>
      </c>
      <c r="BB9">
        <v>85</v>
      </c>
      <c r="BC9">
        <v>82</v>
      </c>
      <c r="BF9" t="s">
        <v>237</v>
      </c>
      <c r="BH9">
        <v>17</v>
      </c>
      <c r="BI9" t="s">
        <v>43</v>
      </c>
      <c r="BJ9" t="s">
        <v>238</v>
      </c>
      <c r="BK9">
        <v>304.10000000000002</v>
      </c>
      <c r="BL9">
        <v>91.8</v>
      </c>
      <c r="BM9">
        <v>0</v>
      </c>
      <c r="BN9" t="s">
        <v>40</v>
      </c>
      <c r="BQ9">
        <v>4.3999999999999997E-2</v>
      </c>
      <c r="BR9">
        <v>66</v>
      </c>
      <c r="BS9">
        <v>4.07E-2</v>
      </c>
      <c r="BT9">
        <v>77</v>
      </c>
      <c r="BU9">
        <v>1.5E-3</v>
      </c>
      <c r="BV9">
        <v>1E-3</v>
      </c>
      <c r="BW9">
        <v>1.5E-3</v>
      </c>
      <c r="BX9">
        <v>9.9000000000000008E-3</v>
      </c>
      <c r="BY9">
        <v>0.45929999999999999</v>
      </c>
      <c r="CA9">
        <v>0.2581</v>
      </c>
      <c r="CB9">
        <v>5.44</v>
      </c>
      <c r="CC9">
        <v>1.84</v>
      </c>
      <c r="CM9">
        <v>2.0999999999999999E-3</v>
      </c>
      <c r="CQ9">
        <v>0.73199999999999998</v>
      </c>
      <c r="CR9">
        <v>5.55</v>
      </c>
      <c r="CS9">
        <v>1.0035000000000001</v>
      </c>
      <c r="CT9">
        <v>1.45</v>
      </c>
      <c r="CU9">
        <v>1.0056</v>
      </c>
      <c r="CV9">
        <v>1.1000000000000001</v>
      </c>
      <c r="CW9">
        <v>1.0053000000000001</v>
      </c>
      <c r="CX9">
        <v>0.23</v>
      </c>
      <c r="CY9" t="s">
        <v>228</v>
      </c>
    </row>
    <row r="10" spans="1:105" x14ac:dyDescent="0.25">
      <c r="A10">
        <v>22</v>
      </c>
      <c r="B10" s="1">
        <v>44344</v>
      </c>
      <c r="C10" s="2">
        <v>0.94444444444444453</v>
      </c>
      <c r="D10">
        <v>2726</v>
      </c>
      <c r="E10" t="s">
        <v>219</v>
      </c>
      <c r="F10" t="s">
        <v>234</v>
      </c>
      <c r="G10">
        <v>2</v>
      </c>
      <c r="H10">
        <v>76</v>
      </c>
      <c r="I10">
        <v>3</v>
      </c>
      <c r="J10" t="s">
        <v>39</v>
      </c>
      <c r="K10">
        <v>22042</v>
      </c>
      <c r="M10" t="s">
        <v>221</v>
      </c>
      <c r="N10" t="s">
        <v>222</v>
      </c>
      <c r="O10" t="s">
        <v>236</v>
      </c>
      <c r="Q10">
        <v>825</v>
      </c>
      <c r="R10">
        <v>150</v>
      </c>
      <c r="U10">
        <v>23.7</v>
      </c>
      <c r="W10">
        <v>20</v>
      </c>
      <c r="Y10">
        <v>10</v>
      </c>
      <c r="Z10">
        <v>2714</v>
      </c>
      <c r="AA10">
        <v>1028.7</v>
      </c>
      <c r="AB10">
        <v>0.23859445668560827</v>
      </c>
      <c r="AC10">
        <v>0.24590000000000001</v>
      </c>
      <c r="AD10">
        <v>2</v>
      </c>
      <c r="AE10">
        <v>41</v>
      </c>
      <c r="AF10" t="s">
        <v>224</v>
      </c>
      <c r="AG10">
        <v>4</v>
      </c>
      <c r="AH10">
        <v>4</v>
      </c>
      <c r="AI10">
        <v>4</v>
      </c>
      <c r="AJ10">
        <v>4</v>
      </c>
      <c r="AK10">
        <v>4</v>
      </c>
      <c r="AL10">
        <v>40</v>
      </c>
      <c r="AM10">
        <v>46</v>
      </c>
      <c r="AN10">
        <v>50</v>
      </c>
      <c r="AO10">
        <v>46</v>
      </c>
      <c r="AP10">
        <v>45.5</v>
      </c>
      <c r="AQ10">
        <v>4</v>
      </c>
      <c r="AR10">
        <v>77</v>
      </c>
      <c r="AS10">
        <v>70</v>
      </c>
      <c r="AT10">
        <v>2.4</v>
      </c>
      <c r="AU10">
        <v>14</v>
      </c>
      <c r="AV10">
        <v>14.1</v>
      </c>
      <c r="AW10">
        <v>8.6</v>
      </c>
      <c r="AX10">
        <v>8.6999999999999994E-2</v>
      </c>
      <c r="AY10">
        <v>5</v>
      </c>
      <c r="AZ10">
        <v>5</v>
      </c>
      <c r="BA10">
        <v>83</v>
      </c>
      <c r="BB10">
        <v>85</v>
      </c>
      <c r="BC10">
        <v>82</v>
      </c>
      <c r="BD10" s="2">
        <v>0.29305555555555557</v>
      </c>
      <c r="BE10">
        <v>41</v>
      </c>
      <c r="BF10" t="s">
        <v>237</v>
      </c>
      <c r="BG10" t="s">
        <v>239</v>
      </c>
      <c r="BH10">
        <v>16</v>
      </c>
      <c r="BI10" t="s">
        <v>43</v>
      </c>
      <c r="BJ10" t="s">
        <v>238</v>
      </c>
      <c r="BK10">
        <v>304</v>
      </c>
      <c r="BL10">
        <v>92</v>
      </c>
      <c r="BM10">
        <v>1</v>
      </c>
      <c r="BN10" t="s">
        <v>40</v>
      </c>
      <c r="BO10">
        <v>1684.26</v>
      </c>
      <c r="BP10">
        <v>0.10970000000000001</v>
      </c>
      <c r="BQ10">
        <v>3.9199999999999999E-2</v>
      </c>
      <c r="BR10">
        <v>67</v>
      </c>
      <c r="BS10">
        <v>3.8100000000000002E-2</v>
      </c>
      <c r="BT10">
        <v>78</v>
      </c>
      <c r="BY10">
        <v>0.44569999999999999</v>
      </c>
      <c r="CA10">
        <v>0.2596</v>
      </c>
      <c r="CB10">
        <v>5.25</v>
      </c>
      <c r="CC10">
        <v>1.83</v>
      </c>
      <c r="CD10">
        <v>1.0449999999999999</v>
      </c>
      <c r="CE10">
        <v>7.2400000000000006E-2</v>
      </c>
      <c r="CF10">
        <v>2.3699999999999999E-2</v>
      </c>
      <c r="CG10">
        <v>2.1700000000000001E-2</v>
      </c>
      <c r="CH10">
        <v>2.3800000000000002E-2</v>
      </c>
      <c r="CI10">
        <v>2.23E-2</v>
      </c>
      <c r="CJ10">
        <v>2.29E-2</v>
      </c>
      <c r="CK10">
        <v>1.9E-2</v>
      </c>
      <c r="CL10">
        <v>3.2199999999999999E-2</v>
      </c>
      <c r="CM10">
        <v>6.9999999999999999E-4</v>
      </c>
      <c r="CN10">
        <v>0.24590000000000001</v>
      </c>
      <c r="CO10">
        <v>0.25790000000000002</v>
      </c>
      <c r="CP10">
        <v>0.32619999999999999</v>
      </c>
    </row>
    <row r="11" spans="1:105" x14ac:dyDescent="0.25">
      <c r="A11">
        <v>22</v>
      </c>
      <c r="B11" s="1">
        <v>44344</v>
      </c>
      <c r="C11" s="2">
        <v>0.82291666666666663</v>
      </c>
      <c r="D11">
        <v>2726</v>
      </c>
      <c r="E11" t="s">
        <v>219</v>
      </c>
      <c r="F11" t="s">
        <v>234</v>
      </c>
      <c r="G11">
        <v>2</v>
      </c>
      <c r="H11">
        <v>58</v>
      </c>
      <c r="I11">
        <v>3</v>
      </c>
      <c r="J11" t="s">
        <v>39</v>
      </c>
      <c r="K11">
        <v>22042</v>
      </c>
      <c r="M11" t="s">
        <v>221</v>
      </c>
      <c r="N11" t="s">
        <v>222</v>
      </c>
      <c r="O11" t="s">
        <v>236</v>
      </c>
      <c r="Q11">
        <v>825</v>
      </c>
      <c r="R11">
        <v>150</v>
      </c>
      <c r="U11">
        <v>23.7</v>
      </c>
      <c r="W11">
        <v>20</v>
      </c>
      <c r="Y11">
        <v>10</v>
      </c>
      <c r="Z11">
        <v>2714</v>
      </c>
      <c r="AA11">
        <v>1028.7</v>
      </c>
      <c r="AB11">
        <v>0.23859445668560827</v>
      </c>
      <c r="AC11" t="s">
        <v>40</v>
      </c>
      <c r="AD11">
        <v>2</v>
      </c>
      <c r="AE11">
        <v>41</v>
      </c>
      <c r="AF11" t="s">
        <v>224</v>
      </c>
      <c r="AG11">
        <v>4.2</v>
      </c>
      <c r="AH11">
        <v>4.2</v>
      </c>
      <c r="AI11">
        <v>4.2</v>
      </c>
      <c r="AJ11">
        <v>4.2</v>
      </c>
      <c r="AK11">
        <v>4.2</v>
      </c>
      <c r="AL11">
        <v>50</v>
      </c>
      <c r="AM11">
        <v>58</v>
      </c>
      <c r="AN11">
        <v>58</v>
      </c>
      <c r="AO11">
        <v>56</v>
      </c>
      <c r="AP11">
        <v>55.5</v>
      </c>
      <c r="AQ11">
        <v>4</v>
      </c>
      <c r="AR11">
        <v>76</v>
      </c>
      <c r="AS11">
        <v>71</v>
      </c>
      <c r="AT11">
        <v>2.2999999999999998</v>
      </c>
      <c r="AU11">
        <v>14.2</v>
      </c>
      <c r="AV11">
        <v>13.6</v>
      </c>
      <c r="AW11">
        <v>8.6</v>
      </c>
      <c r="AX11">
        <v>0.13100000000000001</v>
      </c>
      <c r="AY11">
        <v>5</v>
      </c>
      <c r="AZ11">
        <v>5</v>
      </c>
      <c r="BA11">
        <v>83</v>
      </c>
      <c r="BB11">
        <v>85</v>
      </c>
      <c r="BC11">
        <v>82</v>
      </c>
      <c r="BD11" s="2">
        <v>0.34722222222222227</v>
      </c>
      <c r="BE11">
        <v>22</v>
      </c>
      <c r="BF11" t="s">
        <v>237</v>
      </c>
      <c r="BG11" t="s">
        <v>240</v>
      </c>
      <c r="BH11">
        <v>16</v>
      </c>
      <c r="BI11" t="s">
        <v>43</v>
      </c>
      <c r="BJ11" t="s">
        <v>238</v>
      </c>
      <c r="BK11">
        <v>304.7</v>
      </c>
      <c r="BL11">
        <v>92.1</v>
      </c>
      <c r="BM11">
        <v>0</v>
      </c>
      <c r="BN11" t="s">
        <v>40</v>
      </c>
      <c r="BS11">
        <v>4.1399999999999999E-2</v>
      </c>
      <c r="BT11">
        <v>76</v>
      </c>
      <c r="BU11">
        <v>1.5E-3</v>
      </c>
      <c r="BV11">
        <v>8.9999999999999998E-4</v>
      </c>
      <c r="BW11">
        <v>1.5E-3</v>
      </c>
      <c r="BX11">
        <v>1.01E-2</v>
      </c>
      <c r="BY11">
        <v>0.44369999999999998</v>
      </c>
      <c r="CA11">
        <v>0.2611</v>
      </c>
      <c r="CB11">
        <v>5.48</v>
      </c>
      <c r="CC11">
        <v>1.84</v>
      </c>
      <c r="CM11">
        <v>5.7000000000000002E-3</v>
      </c>
    </row>
    <row r="12" spans="1:105" x14ac:dyDescent="0.25">
      <c r="A12">
        <v>22</v>
      </c>
      <c r="B12" s="1">
        <v>44344</v>
      </c>
      <c r="C12" s="2">
        <v>0.6875</v>
      </c>
      <c r="D12">
        <v>2726</v>
      </c>
      <c r="E12" t="s">
        <v>219</v>
      </c>
      <c r="F12" t="s">
        <v>234</v>
      </c>
      <c r="G12">
        <v>2</v>
      </c>
      <c r="H12">
        <v>46</v>
      </c>
      <c r="I12">
        <v>2</v>
      </c>
      <c r="J12" t="s">
        <v>39</v>
      </c>
      <c r="K12">
        <v>22042</v>
      </c>
      <c r="L12" t="s">
        <v>241</v>
      </c>
      <c r="M12" t="s">
        <v>221</v>
      </c>
      <c r="N12" t="s">
        <v>222</v>
      </c>
      <c r="O12" t="s">
        <v>236</v>
      </c>
      <c r="Q12">
        <v>825</v>
      </c>
      <c r="R12">
        <v>150</v>
      </c>
      <c r="U12">
        <v>23.7</v>
      </c>
      <c r="V12">
        <v>7.9</v>
      </c>
      <c r="W12">
        <v>20</v>
      </c>
      <c r="Z12">
        <v>2714</v>
      </c>
      <c r="AA12">
        <v>1026.5999999999999</v>
      </c>
      <c r="AB12">
        <v>0.22818404089797731</v>
      </c>
      <c r="AC12" t="s">
        <v>40</v>
      </c>
      <c r="AD12">
        <v>2</v>
      </c>
      <c r="AE12">
        <v>41</v>
      </c>
      <c r="AF12" t="s">
        <v>224</v>
      </c>
      <c r="AG12">
        <v>4.0999999999999996</v>
      </c>
      <c r="AH12">
        <v>4.0999999999999996</v>
      </c>
      <c r="AI12">
        <v>4.0999999999999996</v>
      </c>
      <c r="AJ12">
        <v>4.0999999999999996</v>
      </c>
      <c r="AK12">
        <v>4.0999999999999996</v>
      </c>
      <c r="AL12">
        <v>44</v>
      </c>
      <c r="AM12">
        <v>50</v>
      </c>
      <c r="AN12">
        <v>54</v>
      </c>
      <c r="AO12">
        <v>58</v>
      </c>
      <c r="AP12">
        <v>51.5</v>
      </c>
      <c r="AQ12">
        <v>4</v>
      </c>
      <c r="AR12">
        <v>79</v>
      </c>
      <c r="AS12">
        <v>70</v>
      </c>
      <c r="AT12">
        <v>2.2999999999999998</v>
      </c>
      <c r="AU12">
        <v>14.4</v>
      </c>
      <c r="AV12">
        <v>14.7</v>
      </c>
      <c r="AW12">
        <v>8.6</v>
      </c>
      <c r="AX12">
        <v>0.1</v>
      </c>
      <c r="AY12">
        <v>7</v>
      </c>
      <c r="AZ12">
        <v>5</v>
      </c>
      <c r="BA12">
        <v>83</v>
      </c>
      <c r="BB12">
        <v>85</v>
      </c>
      <c r="BC12">
        <v>82</v>
      </c>
      <c r="BD12" s="2">
        <v>0.32222222222222224</v>
      </c>
      <c r="BE12">
        <v>10</v>
      </c>
      <c r="BF12" t="s">
        <v>229</v>
      </c>
      <c r="BG12" t="s">
        <v>242</v>
      </c>
      <c r="BH12">
        <v>16</v>
      </c>
      <c r="BI12" t="s">
        <v>43</v>
      </c>
      <c r="BJ12" t="s">
        <v>243</v>
      </c>
      <c r="BN12" t="s">
        <v>40</v>
      </c>
      <c r="BS12">
        <v>4.1300000000000003E-2</v>
      </c>
      <c r="BT12">
        <v>78</v>
      </c>
      <c r="BU12">
        <v>1.9E-3</v>
      </c>
      <c r="BV12">
        <v>1.1999999999999999E-3</v>
      </c>
      <c r="BW12">
        <v>1.9E-3</v>
      </c>
      <c r="BX12">
        <v>1.04E-2</v>
      </c>
      <c r="BY12">
        <v>0.47010000000000002</v>
      </c>
      <c r="CA12">
        <v>0.26989999999999997</v>
      </c>
      <c r="CB12">
        <v>5.36</v>
      </c>
      <c r="CC12">
        <v>1.84</v>
      </c>
    </row>
    <row r="13" spans="1:105" x14ac:dyDescent="0.25">
      <c r="A13">
        <v>22</v>
      </c>
      <c r="B13" s="1">
        <v>44344</v>
      </c>
      <c r="C13" s="2">
        <v>0.61319444444444449</v>
      </c>
      <c r="D13">
        <v>2726</v>
      </c>
      <c r="E13" t="s">
        <v>219</v>
      </c>
      <c r="F13" t="s">
        <v>234</v>
      </c>
      <c r="G13">
        <v>2</v>
      </c>
      <c r="H13">
        <v>36</v>
      </c>
      <c r="I13">
        <v>2</v>
      </c>
      <c r="J13" t="s">
        <v>39</v>
      </c>
      <c r="K13">
        <v>22042</v>
      </c>
      <c r="L13" t="s">
        <v>241</v>
      </c>
      <c r="M13" t="s">
        <v>221</v>
      </c>
      <c r="N13" t="s">
        <v>222</v>
      </c>
      <c r="O13" t="s">
        <v>236</v>
      </c>
      <c r="Q13">
        <v>825</v>
      </c>
      <c r="R13">
        <v>150</v>
      </c>
      <c r="U13">
        <v>23.7</v>
      </c>
      <c r="V13">
        <v>7.9</v>
      </c>
      <c r="W13">
        <v>20</v>
      </c>
      <c r="Z13">
        <v>2714</v>
      </c>
      <c r="AA13">
        <v>1026.5999999999999</v>
      </c>
      <c r="AB13">
        <v>0.22818404089797731</v>
      </c>
      <c r="AC13" t="s">
        <v>40</v>
      </c>
      <c r="AD13">
        <v>1</v>
      </c>
      <c r="AE13">
        <v>33</v>
      </c>
      <c r="AF13" t="s">
        <v>244</v>
      </c>
      <c r="AG13">
        <v>3</v>
      </c>
      <c r="AH13">
        <v>3</v>
      </c>
      <c r="AI13">
        <v>3</v>
      </c>
      <c r="AJ13">
        <v>3</v>
      </c>
      <c r="AK13">
        <v>3</v>
      </c>
      <c r="AL13">
        <v>54</v>
      </c>
      <c r="AM13">
        <v>64</v>
      </c>
      <c r="AN13">
        <v>62</v>
      </c>
      <c r="AO13">
        <v>60</v>
      </c>
      <c r="AP13">
        <v>60</v>
      </c>
      <c r="AQ13">
        <v>4</v>
      </c>
      <c r="AR13">
        <v>78</v>
      </c>
      <c r="AS13">
        <v>70</v>
      </c>
      <c r="AT13">
        <v>2.2000000000000002</v>
      </c>
      <c r="AU13">
        <v>14.5</v>
      </c>
      <c r="AV13">
        <v>14.8</v>
      </c>
      <c r="AW13">
        <v>8.1</v>
      </c>
      <c r="AX13">
        <v>0.11</v>
      </c>
      <c r="AY13">
        <v>7</v>
      </c>
      <c r="AZ13">
        <v>5</v>
      </c>
      <c r="BA13">
        <v>83</v>
      </c>
      <c r="BB13">
        <v>85</v>
      </c>
      <c r="BC13">
        <v>82</v>
      </c>
      <c r="BD13" s="2">
        <v>0.3444444444444445</v>
      </c>
      <c r="BE13">
        <v>5</v>
      </c>
      <c r="BF13" t="s">
        <v>229</v>
      </c>
      <c r="BG13" t="s">
        <v>245</v>
      </c>
      <c r="BH13">
        <v>16</v>
      </c>
      <c r="BI13" t="s">
        <v>43</v>
      </c>
      <c r="BJ13" t="s">
        <v>243</v>
      </c>
      <c r="BK13">
        <v>304.7</v>
      </c>
      <c r="BL13">
        <v>92.4</v>
      </c>
      <c r="BM13">
        <v>2</v>
      </c>
      <c r="BN13" t="s">
        <v>40</v>
      </c>
      <c r="BQ13">
        <v>3.78E-2</v>
      </c>
      <c r="BR13">
        <v>80</v>
      </c>
      <c r="BS13">
        <v>3.9100000000000003E-2</v>
      </c>
      <c r="BT13">
        <v>81</v>
      </c>
      <c r="BU13">
        <v>1.9E-3</v>
      </c>
      <c r="BV13">
        <v>1.1999999999999999E-3</v>
      </c>
      <c r="BW13">
        <v>1.9E-3</v>
      </c>
      <c r="BX13">
        <v>1.0200000000000001E-2</v>
      </c>
      <c r="BY13">
        <v>0.47770000000000001</v>
      </c>
      <c r="CA13">
        <v>0.26550000000000001</v>
      </c>
      <c r="CB13">
        <v>5.2</v>
      </c>
      <c r="CC13">
        <v>1.84</v>
      </c>
      <c r="CM13">
        <v>2.7000000000000001E-3</v>
      </c>
      <c r="DA13">
        <v>7.2</v>
      </c>
    </row>
    <row r="14" spans="1:105" x14ac:dyDescent="0.25">
      <c r="A14">
        <v>22</v>
      </c>
      <c r="B14" s="1">
        <v>44344</v>
      </c>
      <c r="C14" s="2">
        <v>0.53611111111111109</v>
      </c>
      <c r="D14">
        <v>2726</v>
      </c>
      <c r="E14" t="s">
        <v>219</v>
      </c>
      <c r="F14" t="s">
        <v>234</v>
      </c>
      <c r="G14">
        <v>2</v>
      </c>
      <c r="H14">
        <v>29</v>
      </c>
      <c r="I14">
        <v>2</v>
      </c>
      <c r="J14" t="s">
        <v>39</v>
      </c>
      <c r="K14">
        <v>22042</v>
      </c>
      <c r="L14" t="s">
        <v>241</v>
      </c>
      <c r="M14" t="s">
        <v>221</v>
      </c>
      <c r="N14" t="s">
        <v>222</v>
      </c>
      <c r="O14" t="s">
        <v>236</v>
      </c>
      <c r="Q14">
        <v>825</v>
      </c>
      <c r="R14">
        <v>150</v>
      </c>
      <c r="U14">
        <v>23.7</v>
      </c>
      <c r="V14">
        <v>7.9</v>
      </c>
      <c r="W14">
        <v>20</v>
      </c>
      <c r="Z14">
        <v>2714</v>
      </c>
      <c r="AA14">
        <v>1026.5999999999999</v>
      </c>
      <c r="AB14">
        <v>0.22818404089797731</v>
      </c>
      <c r="AC14" t="s">
        <v>40</v>
      </c>
      <c r="AD14">
        <v>1</v>
      </c>
      <c r="AE14">
        <v>33</v>
      </c>
      <c r="AF14" t="s">
        <v>244</v>
      </c>
      <c r="AG14">
        <v>3.3</v>
      </c>
      <c r="AH14">
        <v>3.3</v>
      </c>
      <c r="AI14">
        <v>3.3</v>
      </c>
      <c r="AJ14">
        <v>3.3</v>
      </c>
      <c r="AK14">
        <v>3.3</v>
      </c>
      <c r="AL14">
        <v>60</v>
      </c>
      <c r="AM14">
        <v>62</v>
      </c>
      <c r="AN14">
        <v>80</v>
      </c>
      <c r="AO14">
        <v>76</v>
      </c>
      <c r="AP14">
        <v>69.5</v>
      </c>
      <c r="AQ14">
        <v>4</v>
      </c>
      <c r="AR14">
        <v>80</v>
      </c>
      <c r="AS14">
        <v>70</v>
      </c>
      <c r="AT14">
        <v>3.4</v>
      </c>
      <c r="AU14">
        <v>15</v>
      </c>
      <c r="AV14">
        <v>15.1</v>
      </c>
      <c r="AW14">
        <v>8.1999999999999993</v>
      </c>
      <c r="AX14">
        <v>0.12</v>
      </c>
      <c r="AY14">
        <v>7</v>
      </c>
      <c r="AZ14">
        <v>5</v>
      </c>
      <c r="BA14">
        <v>83</v>
      </c>
      <c r="BB14">
        <v>85</v>
      </c>
      <c r="BC14">
        <v>82</v>
      </c>
      <c r="BD14" s="2">
        <v>0.34861111111111115</v>
      </c>
      <c r="BE14">
        <v>52</v>
      </c>
      <c r="BF14" t="s">
        <v>229</v>
      </c>
      <c r="BG14" t="s">
        <v>246</v>
      </c>
      <c r="BH14">
        <v>16</v>
      </c>
      <c r="BI14" t="s">
        <v>43</v>
      </c>
      <c r="BJ14" t="s">
        <v>243</v>
      </c>
      <c r="BK14">
        <v>304.7</v>
      </c>
      <c r="BL14">
        <v>92.5</v>
      </c>
      <c r="BM14">
        <v>2</v>
      </c>
      <c r="BN14" t="s">
        <v>40</v>
      </c>
      <c r="BS14">
        <v>4.0500000000000001E-2</v>
      </c>
      <c r="BT14">
        <v>86</v>
      </c>
      <c r="BY14">
        <v>0.48570000000000002</v>
      </c>
      <c r="CA14">
        <v>0.26450000000000001</v>
      </c>
      <c r="CB14">
        <v>5.7</v>
      </c>
      <c r="CC14">
        <v>1.84</v>
      </c>
      <c r="CM14">
        <v>3.8999999999999998E-3</v>
      </c>
    </row>
    <row r="15" spans="1:105" x14ac:dyDescent="0.25">
      <c r="A15">
        <v>22</v>
      </c>
      <c r="B15" s="1">
        <v>44344</v>
      </c>
      <c r="C15" s="2">
        <v>0.46180555555555558</v>
      </c>
      <c r="D15">
        <v>2726</v>
      </c>
      <c r="E15" t="s">
        <v>219</v>
      </c>
      <c r="F15" t="s">
        <v>234</v>
      </c>
      <c r="G15">
        <v>2</v>
      </c>
      <c r="H15">
        <v>20</v>
      </c>
      <c r="I15">
        <v>1</v>
      </c>
      <c r="J15" t="s">
        <v>39</v>
      </c>
      <c r="K15">
        <v>22042</v>
      </c>
      <c r="L15" t="s">
        <v>241</v>
      </c>
      <c r="M15" t="s">
        <v>221</v>
      </c>
      <c r="N15" t="s">
        <v>222</v>
      </c>
      <c r="O15" t="s">
        <v>236</v>
      </c>
      <c r="Q15">
        <v>825</v>
      </c>
      <c r="R15">
        <v>150</v>
      </c>
      <c r="U15">
        <v>23.7</v>
      </c>
      <c r="V15">
        <v>7.9</v>
      </c>
      <c r="W15">
        <v>20</v>
      </c>
      <c r="Z15">
        <v>2714</v>
      </c>
      <c r="AA15">
        <v>1026.5999999999999</v>
      </c>
      <c r="AB15">
        <v>0.22818404089797731</v>
      </c>
      <c r="AC15" t="s">
        <v>40</v>
      </c>
      <c r="AD15">
        <v>1</v>
      </c>
      <c r="AE15">
        <v>33</v>
      </c>
      <c r="AF15" t="s">
        <v>244</v>
      </c>
      <c r="AG15">
        <v>3.8</v>
      </c>
      <c r="AH15">
        <v>3.8</v>
      </c>
      <c r="AI15">
        <v>3.8</v>
      </c>
      <c r="AJ15">
        <v>3.8</v>
      </c>
      <c r="AK15">
        <v>3.8</v>
      </c>
      <c r="AL15">
        <v>50</v>
      </c>
      <c r="AM15">
        <v>68</v>
      </c>
      <c r="AN15">
        <v>66</v>
      </c>
      <c r="AO15">
        <v>62</v>
      </c>
      <c r="AP15">
        <v>61.5</v>
      </c>
      <c r="AQ15">
        <v>4</v>
      </c>
      <c r="AR15">
        <v>80</v>
      </c>
      <c r="AS15">
        <v>70</v>
      </c>
      <c r="AT15">
        <v>2.4</v>
      </c>
      <c r="AU15">
        <v>14.1</v>
      </c>
      <c r="AV15">
        <v>14.4</v>
      </c>
      <c r="AW15">
        <v>8.1</v>
      </c>
      <c r="AX15">
        <v>0.09</v>
      </c>
      <c r="AY15">
        <v>5</v>
      </c>
      <c r="AZ15">
        <v>5</v>
      </c>
      <c r="BA15">
        <v>83</v>
      </c>
      <c r="BB15">
        <v>85</v>
      </c>
      <c r="BC15">
        <v>82</v>
      </c>
      <c r="BD15" s="2">
        <v>0.34375</v>
      </c>
      <c r="BE15">
        <v>40</v>
      </c>
      <c r="BF15" t="s">
        <v>229</v>
      </c>
      <c r="BG15" t="s">
        <v>247</v>
      </c>
      <c r="BH15">
        <v>16</v>
      </c>
      <c r="BI15" t="s">
        <v>43</v>
      </c>
      <c r="BJ15" t="s">
        <v>243</v>
      </c>
      <c r="BK15">
        <v>304.7</v>
      </c>
      <c r="BL15">
        <v>92.4</v>
      </c>
      <c r="BM15">
        <v>3</v>
      </c>
      <c r="BN15" t="s">
        <v>40</v>
      </c>
      <c r="BS15">
        <v>3.6200000000000003E-2</v>
      </c>
      <c r="BT15">
        <v>84</v>
      </c>
      <c r="BY15">
        <v>0.53359999999999996</v>
      </c>
      <c r="CA15">
        <v>0.26900000000000002</v>
      </c>
      <c r="CB15">
        <v>5.0199999999999996</v>
      </c>
      <c r="CC15">
        <v>1.85</v>
      </c>
      <c r="CM15">
        <v>6.9999999999999999E-4</v>
      </c>
    </row>
    <row r="16" spans="1:105" x14ac:dyDescent="0.25">
      <c r="A16">
        <v>22</v>
      </c>
      <c r="B16" s="1">
        <v>44344</v>
      </c>
      <c r="C16" s="2">
        <v>0.3611111111111111</v>
      </c>
      <c r="D16">
        <v>2726</v>
      </c>
      <c r="E16" t="s">
        <v>219</v>
      </c>
      <c r="F16" t="s">
        <v>234</v>
      </c>
      <c r="G16">
        <v>2</v>
      </c>
      <c r="H16">
        <v>9</v>
      </c>
      <c r="I16">
        <v>1</v>
      </c>
      <c r="J16" t="s">
        <v>39</v>
      </c>
      <c r="K16">
        <v>22042</v>
      </c>
      <c r="L16" t="s">
        <v>241</v>
      </c>
      <c r="M16" t="s">
        <v>221</v>
      </c>
      <c r="N16" t="s">
        <v>222</v>
      </c>
      <c r="O16" t="s">
        <v>236</v>
      </c>
      <c r="Q16">
        <v>825</v>
      </c>
      <c r="R16">
        <v>150</v>
      </c>
      <c r="U16">
        <v>23.7</v>
      </c>
      <c r="V16">
        <v>7.9</v>
      </c>
      <c r="W16">
        <v>20</v>
      </c>
      <c r="Z16">
        <v>2714</v>
      </c>
      <c r="AA16">
        <v>1026.5999999999999</v>
      </c>
      <c r="AB16">
        <v>0.22818404089797731</v>
      </c>
      <c r="AC16">
        <v>0.24479999999999999</v>
      </c>
      <c r="AD16">
        <v>1</v>
      </c>
      <c r="AE16">
        <v>33</v>
      </c>
      <c r="AF16" t="s">
        <v>244</v>
      </c>
      <c r="AG16">
        <v>3.8</v>
      </c>
      <c r="AH16">
        <v>3.8</v>
      </c>
      <c r="AI16">
        <v>3.8</v>
      </c>
      <c r="AJ16">
        <v>3.8</v>
      </c>
      <c r="AK16">
        <v>3.8</v>
      </c>
      <c r="AL16">
        <v>54</v>
      </c>
      <c r="AM16">
        <v>56</v>
      </c>
      <c r="AN16">
        <v>48</v>
      </c>
      <c r="AO16">
        <v>60</v>
      </c>
      <c r="AP16">
        <v>54.5</v>
      </c>
      <c r="AQ16">
        <v>4</v>
      </c>
      <c r="AR16">
        <v>79</v>
      </c>
      <c r="AS16">
        <v>70</v>
      </c>
      <c r="AT16">
        <v>2.4</v>
      </c>
      <c r="AU16">
        <v>14.1</v>
      </c>
      <c r="AV16">
        <v>14.2</v>
      </c>
      <c r="AW16">
        <v>8.3000000000000007</v>
      </c>
      <c r="AX16">
        <v>0.08</v>
      </c>
      <c r="AY16">
        <v>5</v>
      </c>
      <c r="AZ16">
        <v>5</v>
      </c>
      <c r="BA16">
        <v>83</v>
      </c>
      <c r="BB16">
        <v>85</v>
      </c>
      <c r="BC16">
        <v>82</v>
      </c>
      <c r="BD16" s="2">
        <v>0.33680555555555558</v>
      </c>
      <c r="BE16">
        <v>32</v>
      </c>
      <c r="BF16" t="s">
        <v>229</v>
      </c>
      <c r="BH16">
        <v>16</v>
      </c>
      <c r="BI16" t="s">
        <v>43</v>
      </c>
      <c r="BJ16" t="s">
        <v>243</v>
      </c>
      <c r="BK16">
        <v>304.89999999999998</v>
      </c>
      <c r="BL16">
        <v>92.6</v>
      </c>
      <c r="BM16">
        <v>2</v>
      </c>
      <c r="BN16" t="s">
        <v>40</v>
      </c>
      <c r="BO16">
        <v>1684.9</v>
      </c>
      <c r="BQ16">
        <v>4.0800000000000003E-2</v>
      </c>
      <c r="BR16">
        <v>83</v>
      </c>
      <c r="BS16">
        <v>3.8899999999999997E-2</v>
      </c>
      <c r="BT16">
        <v>86</v>
      </c>
      <c r="BU16">
        <v>2.5999999999999999E-3</v>
      </c>
      <c r="BV16">
        <v>1.5E-3</v>
      </c>
      <c r="BW16">
        <v>2.5999999999999999E-3</v>
      </c>
      <c r="BX16">
        <v>1.01E-2</v>
      </c>
      <c r="BY16">
        <v>0.50280000000000002</v>
      </c>
      <c r="CA16">
        <v>0.26869999999999999</v>
      </c>
      <c r="CB16">
        <v>5.2</v>
      </c>
      <c r="CC16">
        <v>1.83</v>
      </c>
      <c r="CD16">
        <v>1.048</v>
      </c>
      <c r="CE16">
        <v>7.8E-2</v>
      </c>
      <c r="CF16">
        <v>2.7300000000000001E-2</v>
      </c>
      <c r="CG16">
        <v>1.9199999999999998E-2</v>
      </c>
      <c r="CH16">
        <v>1.4999999999999999E-2</v>
      </c>
      <c r="CI16">
        <v>2.0799999999999999E-2</v>
      </c>
      <c r="CJ16">
        <v>2.06E-2</v>
      </c>
      <c r="CK16">
        <v>1.6899999999999998E-2</v>
      </c>
      <c r="CL16">
        <v>3.3300000000000003E-2</v>
      </c>
      <c r="CM16">
        <v>1.6999999999999999E-3</v>
      </c>
      <c r="CN16">
        <v>0.24479999999999999</v>
      </c>
      <c r="CO16">
        <v>0.25600000000000001</v>
      </c>
      <c r="CP16">
        <v>0.26140000000000002</v>
      </c>
    </row>
    <row r="17" spans="1:105" x14ac:dyDescent="0.25">
      <c r="A17">
        <v>22</v>
      </c>
      <c r="B17" s="1">
        <v>44344</v>
      </c>
      <c r="C17" s="2">
        <v>0.18055555555555555</v>
      </c>
      <c r="D17">
        <v>2726</v>
      </c>
      <c r="E17" t="s">
        <v>219</v>
      </c>
      <c r="F17" t="s">
        <v>234</v>
      </c>
      <c r="G17">
        <v>2</v>
      </c>
      <c r="H17">
        <v>51</v>
      </c>
      <c r="I17">
        <v>4</v>
      </c>
      <c r="J17" t="s">
        <v>39</v>
      </c>
      <c r="K17">
        <v>22042</v>
      </c>
      <c r="L17" t="s">
        <v>241</v>
      </c>
      <c r="M17" t="s">
        <v>221</v>
      </c>
      <c r="N17" t="s">
        <v>222</v>
      </c>
      <c r="O17" t="s">
        <v>236</v>
      </c>
      <c r="Q17">
        <v>825</v>
      </c>
      <c r="R17">
        <v>150</v>
      </c>
      <c r="U17">
        <v>23.7</v>
      </c>
      <c r="V17">
        <v>7.9</v>
      </c>
      <c r="W17">
        <v>20</v>
      </c>
      <c r="Y17">
        <v>10</v>
      </c>
      <c r="Z17">
        <v>2714</v>
      </c>
      <c r="AA17">
        <v>1036.5999999999999</v>
      </c>
      <c r="AB17">
        <v>0.22989576402750053</v>
      </c>
      <c r="AC17" t="s">
        <v>40</v>
      </c>
      <c r="AD17">
        <v>2</v>
      </c>
      <c r="AE17">
        <v>41</v>
      </c>
      <c r="AF17" t="s">
        <v>224</v>
      </c>
      <c r="AG17">
        <v>3.6</v>
      </c>
      <c r="AH17">
        <v>3.6</v>
      </c>
      <c r="AI17">
        <v>3.6</v>
      </c>
      <c r="AJ17">
        <v>3.6</v>
      </c>
      <c r="AK17">
        <v>3.6</v>
      </c>
      <c r="AL17">
        <v>50</v>
      </c>
      <c r="AM17">
        <v>54</v>
      </c>
      <c r="AN17">
        <v>62</v>
      </c>
      <c r="AO17">
        <v>62</v>
      </c>
      <c r="AP17">
        <v>57</v>
      </c>
      <c r="AQ17">
        <v>4</v>
      </c>
      <c r="AR17">
        <v>77</v>
      </c>
      <c r="AS17">
        <v>70</v>
      </c>
      <c r="AT17">
        <v>2.4</v>
      </c>
      <c r="AU17">
        <v>14.9</v>
      </c>
      <c r="AV17">
        <v>15.1</v>
      </c>
      <c r="AW17">
        <v>7.1</v>
      </c>
      <c r="AX17">
        <v>0.10929999999999999</v>
      </c>
      <c r="AY17">
        <v>5</v>
      </c>
      <c r="AZ17">
        <v>5</v>
      </c>
      <c r="BA17">
        <v>83</v>
      </c>
      <c r="BB17">
        <v>85</v>
      </c>
      <c r="BC17">
        <v>82</v>
      </c>
      <c r="BD17" s="2">
        <v>0.3125</v>
      </c>
      <c r="BE17">
        <v>13</v>
      </c>
      <c r="BF17" t="s">
        <v>237</v>
      </c>
      <c r="BH17">
        <v>16</v>
      </c>
      <c r="BI17" t="s">
        <v>43</v>
      </c>
      <c r="BJ17" t="s">
        <v>238</v>
      </c>
      <c r="BK17">
        <v>304.7</v>
      </c>
      <c r="BL17">
        <v>92</v>
      </c>
      <c r="BM17">
        <v>1</v>
      </c>
      <c r="BN17" t="s">
        <v>40</v>
      </c>
      <c r="BS17">
        <v>3.95E-2</v>
      </c>
      <c r="BT17">
        <v>86</v>
      </c>
      <c r="BY17">
        <v>0.45710000000000001</v>
      </c>
      <c r="CA17">
        <v>0.26219999999999999</v>
      </c>
      <c r="CB17">
        <v>5.34</v>
      </c>
      <c r="CC17">
        <v>1.85</v>
      </c>
      <c r="CM17">
        <v>2.0999999999999999E-3</v>
      </c>
    </row>
    <row r="18" spans="1:105" x14ac:dyDescent="0.25">
      <c r="A18">
        <v>22</v>
      </c>
      <c r="B18" s="1">
        <v>44344</v>
      </c>
      <c r="C18" s="2">
        <v>9.0277777777777776E-2</v>
      </c>
      <c r="D18">
        <v>2726</v>
      </c>
      <c r="E18" t="s">
        <v>219</v>
      </c>
      <c r="F18" t="s">
        <v>234</v>
      </c>
      <c r="G18">
        <v>2</v>
      </c>
      <c r="H18">
        <v>40</v>
      </c>
      <c r="I18">
        <v>4</v>
      </c>
      <c r="J18" t="s">
        <v>39</v>
      </c>
      <c r="K18">
        <v>22042</v>
      </c>
      <c r="L18" t="s">
        <v>241</v>
      </c>
      <c r="M18" t="s">
        <v>221</v>
      </c>
      <c r="N18" t="s">
        <v>222</v>
      </c>
      <c r="O18" t="s">
        <v>236</v>
      </c>
      <c r="Q18">
        <v>825</v>
      </c>
      <c r="R18">
        <v>150</v>
      </c>
      <c r="U18">
        <v>23.7</v>
      </c>
      <c r="V18">
        <v>7.9</v>
      </c>
      <c r="W18">
        <v>20</v>
      </c>
      <c r="Y18">
        <v>10</v>
      </c>
      <c r="Z18">
        <v>2714</v>
      </c>
      <c r="AA18">
        <v>1036.5999999999999</v>
      </c>
      <c r="AB18">
        <v>0.22989576402750053</v>
      </c>
      <c r="AC18" t="s">
        <v>40</v>
      </c>
      <c r="AD18">
        <v>2</v>
      </c>
      <c r="AE18">
        <v>41</v>
      </c>
      <c r="AF18" t="s">
        <v>224</v>
      </c>
      <c r="AG18">
        <v>3.6</v>
      </c>
      <c r="AH18">
        <v>3.6</v>
      </c>
      <c r="AI18">
        <v>3.6</v>
      </c>
      <c r="AJ18">
        <v>3.6</v>
      </c>
      <c r="AK18">
        <v>3.6</v>
      </c>
      <c r="AL18">
        <v>44</v>
      </c>
      <c r="AM18">
        <v>52</v>
      </c>
      <c r="AN18">
        <v>64</v>
      </c>
      <c r="AO18">
        <v>60</v>
      </c>
      <c r="AP18">
        <v>55</v>
      </c>
      <c r="AQ18">
        <v>4</v>
      </c>
      <c r="AR18">
        <v>76</v>
      </c>
      <c r="AS18">
        <v>70</v>
      </c>
      <c r="AT18">
        <v>2.4</v>
      </c>
      <c r="AU18">
        <v>16.3</v>
      </c>
      <c r="AV18">
        <v>16</v>
      </c>
      <c r="AW18">
        <v>7.5</v>
      </c>
      <c r="AX18">
        <v>0.114</v>
      </c>
      <c r="AY18">
        <v>5</v>
      </c>
      <c r="AZ18">
        <v>5</v>
      </c>
      <c r="BA18">
        <v>83</v>
      </c>
      <c r="BB18">
        <v>85</v>
      </c>
      <c r="BC18">
        <v>82</v>
      </c>
      <c r="BD18" s="2">
        <v>0.34027777777777773</v>
      </c>
      <c r="BE18">
        <v>5</v>
      </c>
      <c r="BF18" t="s">
        <v>237</v>
      </c>
      <c r="BG18" t="s">
        <v>248</v>
      </c>
      <c r="BH18">
        <v>16</v>
      </c>
      <c r="BI18" t="s">
        <v>43</v>
      </c>
      <c r="BJ18" t="s">
        <v>238</v>
      </c>
      <c r="BK18">
        <v>304.5</v>
      </c>
      <c r="BL18">
        <v>92.2</v>
      </c>
      <c r="BM18">
        <v>0</v>
      </c>
      <c r="BN18" t="s">
        <v>40</v>
      </c>
      <c r="BQ18">
        <v>4.0500000000000001E-2</v>
      </c>
      <c r="BR18">
        <v>80</v>
      </c>
      <c r="BS18">
        <v>3.8899999999999997E-2</v>
      </c>
      <c r="BT18">
        <v>80</v>
      </c>
      <c r="BY18">
        <v>0.44390000000000002</v>
      </c>
      <c r="CA18">
        <v>0.25690000000000002</v>
      </c>
      <c r="CB18">
        <v>5.2</v>
      </c>
      <c r="CC18">
        <v>1.84</v>
      </c>
      <c r="CM18">
        <v>2.3999999999999998E-3</v>
      </c>
    </row>
    <row r="19" spans="1:105" x14ac:dyDescent="0.25">
      <c r="A19">
        <v>22</v>
      </c>
      <c r="B19" s="1">
        <v>44343</v>
      </c>
      <c r="C19" s="2">
        <v>0.90416666666666667</v>
      </c>
      <c r="D19">
        <v>2726</v>
      </c>
      <c r="E19" t="s">
        <v>219</v>
      </c>
      <c r="F19" t="s">
        <v>234</v>
      </c>
      <c r="G19">
        <v>2</v>
      </c>
      <c r="H19">
        <v>20</v>
      </c>
      <c r="I19">
        <v>3</v>
      </c>
      <c r="J19" t="s">
        <v>39</v>
      </c>
      <c r="K19">
        <v>22042</v>
      </c>
      <c r="L19" t="s">
        <v>241</v>
      </c>
      <c r="M19" t="s">
        <v>221</v>
      </c>
      <c r="N19" t="s">
        <v>222</v>
      </c>
      <c r="O19" t="s">
        <v>236</v>
      </c>
      <c r="Q19">
        <v>825</v>
      </c>
      <c r="R19">
        <v>150</v>
      </c>
      <c r="U19">
        <v>23.7</v>
      </c>
      <c r="V19">
        <v>7.9</v>
      </c>
      <c r="W19">
        <v>20</v>
      </c>
      <c r="Y19">
        <v>10</v>
      </c>
      <c r="Z19">
        <v>2714</v>
      </c>
      <c r="AA19">
        <v>1036.5999999999999</v>
      </c>
      <c r="AB19">
        <v>0.22989576402750053</v>
      </c>
      <c r="AC19">
        <v>0.25659999999999999</v>
      </c>
      <c r="AD19">
        <v>1</v>
      </c>
      <c r="AE19">
        <v>33</v>
      </c>
      <c r="AF19" t="s">
        <v>244</v>
      </c>
      <c r="AG19">
        <v>3.5</v>
      </c>
      <c r="AH19">
        <v>3.5</v>
      </c>
      <c r="AI19">
        <v>3.5</v>
      </c>
      <c r="AJ19">
        <v>3.5</v>
      </c>
      <c r="AK19">
        <v>3.5</v>
      </c>
      <c r="AL19">
        <v>58</v>
      </c>
      <c r="AM19">
        <v>68</v>
      </c>
      <c r="AN19">
        <v>66</v>
      </c>
      <c r="AO19">
        <v>64</v>
      </c>
      <c r="AP19">
        <v>64</v>
      </c>
      <c r="AQ19">
        <v>4</v>
      </c>
      <c r="AR19">
        <v>74</v>
      </c>
      <c r="AS19">
        <v>70</v>
      </c>
      <c r="AT19">
        <v>2.2999999999999998</v>
      </c>
      <c r="AU19">
        <v>12.9</v>
      </c>
      <c r="AV19">
        <v>13.2</v>
      </c>
      <c r="AW19">
        <v>7.3</v>
      </c>
      <c r="AX19">
        <v>0.13650000000000001</v>
      </c>
      <c r="AY19">
        <v>5</v>
      </c>
      <c r="AZ19">
        <v>5</v>
      </c>
      <c r="BA19">
        <v>83</v>
      </c>
      <c r="BB19">
        <v>85</v>
      </c>
      <c r="BC19">
        <v>82</v>
      </c>
      <c r="BD19" s="2">
        <v>0.31041666666666667</v>
      </c>
      <c r="BE19">
        <v>35</v>
      </c>
      <c r="BF19" t="s">
        <v>237</v>
      </c>
      <c r="BG19" t="s">
        <v>249</v>
      </c>
      <c r="BH19">
        <v>15</v>
      </c>
      <c r="BI19" t="s">
        <v>43</v>
      </c>
      <c r="BJ19" t="s">
        <v>238</v>
      </c>
      <c r="BK19">
        <v>304.60000000000002</v>
      </c>
      <c r="BL19">
        <v>92.2</v>
      </c>
      <c r="BM19">
        <v>2</v>
      </c>
      <c r="BN19" t="s">
        <v>40</v>
      </c>
      <c r="BS19">
        <v>3.9100000000000003E-2</v>
      </c>
      <c r="BT19">
        <v>81</v>
      </c>
      <c r="BY19">
        <v>0.43209999999999998</v>
      </c>
      <c r="CA19">
        <v>0.26250000000000001</v>
      </c>
      <c r="CB19">
        <v>5.49</v>
      </c>
      <c r="CC19">
        <v>1.83</v>
      </c>
      <c r="CD19">
        <v>1.05</v>
      </c>
      <c r="CE19">
        <v>8.09E-2</v>
      </c>
      <c r="CF19">
        <v>3.1699999999999999E-2</v>
      </c>
      <c r="CG19">
        <v>2.3699999999999999E-2</v>
      </c>
      <c r="CH19">
        <v>2.6800000000000001E-2</v>
      </c>
      <c r="CI19">
        <v>2.5499999999999998E-2</v>
      </c>
      <c r="CJ19">
        <v>2.69E-2</v>
      </c>
      <c r="CK19">
        <v>2.4E-2</v>
      </c>
      <c r="CL19">
        <v>3.49E-2</v>
      </c>
      <c r="CM19">
        <v>3.8999999999999998E-3</v>
      </c>
      <c r="CN19">
        <v>0.25659999999999999</v>
      </c>
      <c r="CO19">
        <v>0.24529999999999999</v>
      </c>
      <c r="CP19">
        <v>0.27739999999999998</v>
      </c>
    </row>
    <row r="20" spans="1:105" x14ac:dyDescent="0.25">
      <c r="A20">
        <v>22</v>
      </c>
      <c r="B20" s="1">
        <v>44343</v>
      </c>
      <c r="C20" s="2">
        <v>0.79652777777777783</v>
      </c>
      <c r="D20">
        <v>2726</v>
      </c>
      <c r="E20" t="s">
        <v>219</v>
      </c>
      <c r="F20" t="s">
        <v>234</v>
      </c>
      <c r="G20">
        <v>2</v>
      </c>
      <c r="H20">
        <v>6</v>
      </c>
      <c r="I20">
        <v>3</v>
      </c>
      <c r="J20" t="s">
        <v>39</v>
      </c>
      <c r="K20">
        <v>22042</v>
      </c>
      <c r="L20" t="s">
        <v>241</v>
      </c>
      <c r="M20" t="s">
        <v>221</v>
      </c>
      <c r="N20" t="s">
        <v>222</v>
      </c>
      <c r="O20" t="s">
        <v>236</v>
      </c>
      <c r="Q20">
        <v>825</v>
      </c>
      <c r="R20">
        <v>150</v>
      </c>
      <c r="U20">
        <v>23.7</v>
      </c>
      <c r="V20">
        <v>7.9</v>
      </c>
      <c r="W20">
        <v>20</v>
      </c>
      <c r="Y20">
        <v>10</v>
      </c>
      <c r="Z20">
        <v>2714</v>
      </c>
      <c r="AA20">
        <v>1036.5999999999999</v>
      </c>
      <c r="AB20">
        <v>0.22989576402750053</v>
      </c>
      <c r="AC20" t="s">
        <v>40</v>
      </c>
      <c r="AD20">
        <v>1</v>
      </c>
      <c r="AE20">
        <v>33</v>
      </c>
      <c r="AF20" t="s">
        <v>244</v>
      </c>
      <c r="AG20">
        <v>3.5</v>
      </c>
      <c r="AH20">
        <v>3.2</v>
      </c>
      <c r="AI20">
        <v>3.5</v>
      </c>
      <c r="AJ20">
        <v>3.2</v>
      </c>
      <c r="AK20">
        <v>3.3499999999999996</v>
      </c>
      <c r="AL20">
        <v>60</v>
      </c>
      <c r="AM20">
        <v>62</v>
      </c>
      <c r="AN20">
        <v>58</v>
      </c>
      <c r="AO20">
        <v>60</v>
      </c>
      <c r="AP20">
        <v>60</v>
      </c>
      <c r="AQ20">
        <v>4</v>
      </c>
      <c r="AR20">
        <v>71</v>
      </c>
      <c r="AS20">
        <v>70</v>
      </c>
      <c r="AT20">
        <v>2.2000000000000002</v>
      </c>
      <c r="AU20">
        <v>12.9</v>
      </c>
      <c r="AV20">
        <v>13</v>
      </c>
      <c r="AW20">
        <v>7.3</v>
      </c>
      <c r="AX20">
        <v>0.33360000000000001</v>
      </c>
      <c r="AY20">
        <v>5</v>
      </c>
      <c r="AZ20">
        <v>5</v>
      </c>
      <c r="BA20">
        <v>83</v>
      </c>
      <c r="BB20">
        <v>85</v>
      </c>
      <c r="BC20">
        <v>82</v>
      </c>
      <c r="BD20" s="2">
        <v>0.25833333333333336</v>
      </c>
      <c r="BE20">
        <v>30</v>
      </c>
      <c r="BF20" t="s">
        <v>237</v>
      </c>
      <c r="BG20" t="s">
        <v>250</v>
      </c>
      <c r="BH20">
        <v>15</v>
      </c>
      <c r="BI20" t="s">
        <v>43</v>
      </c>
      <c r="BJ20" t="s">
        <v>238</v>
      </c>
      <c r="BK20">
        <v>304.39999999999998</v>
      </c>
      <c r="BL20">
        <v>92.2</v>
      </c>
      <c r="BM20">
        <v>0</v>
      </c>
      <c r="BN20" t="s">
        <v>40</v>
      </c>
      <c r="BO20">
        <v>1678.55</v>
      </c>
      <c r="BQ20">
        <v>4.1399999999999999E-2</v>
      </c>
      <c r="BR20">
        <v>83</v>
      </c>
      <c r="BS20">
        <v>4.2000000000000003E-2</v>
      </c>
      <c r="BT20">
        <v>82</v>
      </c>
      <c r="BU20">
        <v>1.5E-3</v>
      </c>
      <c r="BV20">
        <v>1.1000000000000001E-3</v>
      </c>
      <c r="BW20">
        <v>1.5E-3</v>
      </c>
      <c r="BX20">
        <v>9.4000000000000004E-3</v>
      </c>
      <c r="BY20">
        <v>0.46150000000000002</v>
      </c>
      <c r="CA20">
        <v>0.26150000000000001</v>
      </c>
      <c r="CB20">
        <v>5.22</v>
      </c>
      <c r="CC20">
        <v>1.87</v>
      </c>
      <c r="CM20">
        <v>5.4999999999999997E-3</v>
      </c>
      <c r="DA20">
        <v>10.38</v>
      </c>
    </row>
    <row r="21" spans="1:105" x14ac:dyDescent="0.25">
      <c r="A21">
        <v>22</v>
      </c>
      <c r="B21" s="1">
        <v>44343</v>
      </c>
      <c r="C21" s="2">
        <v>0.67361111111111116</v>
      </c>
      <c r="D21">
        <v>2726</v>
      </c>
      <c r="E21" t="s">
        <v>219</v>
      </c>
      <c r="F21" t="s">
        <v>251</v>
      </c>
      <c r="G21">
        <v>2</v>
      </c>
      <c r="H21">
        <v>43</v>
      </c>
      <c r="I21">
        <v>2</v>
      </c>
      <c r="J21" t="s">
        <v>39</v>
      </c>
      <c r="K21">
        <v>22042</v>
      </c>
      <c r="L21" t="s">
        <v>241</v>
      </c>
      <c r="M21" t="s">
        <v>221</v>
      </c>
      <c r="N21" t="s">
        <v>222</v>
      </c>
      <c r="O21" t="s">
        <v>236</v>
      </c>
      <c r="Q21">
        <v>825</v>
      </c>
      <c r="R21">
        <v>150</v>
      </c>
      <c r="U21">
        <v>23.7</v>
      </c>
      <c r="V21">
        <v>7.9</v>
      </c>
      <c r="W21">
        <v>20</v>
      </c>
      <c r="Y21">
        <v>10</v>
      </c>
      <c r="Z21">
        <v>2714</v>
      </c>
      <c r="AA21">
        <v>1036.5999999999999</v>
      </c>
      <c r="AB21">
        <v>0.22989576402750053</v>
      </c>
      <c r="AC21" t="s">
        <v>40</v>
      </c>
      <c r="AD21">
        <v>2</v>
      </c>
      <c r="AE21">
        <v>41</v>
      </c>
      <c r="AF21" t="s">
        <v>224</v>
      </c>
      <c r="AG21">
        <v>3.8</v>
      </c>
      <c r="AH21">
        <v>3.8</v>
      </c>
      <c r="AI21">
        <v>3.8</v>
      </c>
      <c r="AJ21">
        <v>3.8</v>
      </c>
      <c r="AK21">
        <v>3.8</v>
      </c>
      <c r="AL21">
        <v>60</v>
      </c>
      <c r="AM21">
        <v>60</v>
      </c>
      <c r="AN21">
        <v>58</v>
      </c>
      <c r="AO21">
        <v>56</v>
      </c>
      <c r="AP21">
        <v>58.5</v>
      </c>
      <c r="AQ21">
        <v>4</v>
      </c>
      <c r="AR21">
        <v>79</v>
      </c>
      <c r="AS21">
        <v>70</v>
      </c>
      <c r="AT21">
        <v>2.4</v>
      </c>
      <c r="AU21">
        <v>14.5</v>
      </c>
      <c r="AV21">
        <v>14.1</v>
      </c>
      <c r="AW21">
        <v>8.3000000000000007</v>
      </c>
      <c r="AX21">
        <v>0.1076</v>
      </c>
      <c r="AY21">
        <v>5</v>
      </c>
      <c r="AZ21">
        <v>5</v>
      </c>
      <c r="BA21">
        <v>83</v>
      </c>
      <c r="BB21">
        <v>85</v>
      </c>
      <c r="BC21">
        <v>82</v>
      </c>
      <c r="BD21" s="2">
        <v>0.27638888888888885</v>
      </c>
      <c r="BE21">
        <v>18</v>
      </c>
      <c r="BF21" t="s">
        <v>42</v>
      </c>
      <c r="BG21" t="s">
        <v>252</v>
      </c>
      <c r="BH21">
        <v>15</v>
      </c>
      <c r="BI21" t="s">
        <v>43</v>
      </c>
      <c r="BJ21" t="s">
        <v>253</v>
      </c>
      <c r="BK21">
        <v>152</v>
      </c>
      <c r="BL21">
        <v>92.1</v>
      </c>
      <c r="BM21">
        <v>2</v>
      </c>
      <c r="BN21" t="s">
        <v>40</v>
      </c>
      <c r="BQ21">
        <v>4.0300000000000002E-2</v>
      </c>
      <c r="BR21">
        <v>86</v>
      </c>
      <c r="BS21">
        <v>3.9600000000000003E-2</v>
      </c>
      <c r="BT21">
        <v>86</v>
      </c>
      <c r="BU21">
        <v>1.9E-3</v>
      </c>
      <c r="BV21">
        <v>1.1000000000000001E-3</v>
      </c>
      <c r="BW21">
        <v>1.9E-3</v>
      </c>
      <c r="BX21">
        <v>1.04E-2</v>
      </c>
      <c r="BY21">
        <v>0.47449999999999998</v>
      </c>
      <c r="CA21">
        <v>0.25530000000000003</v>
      </c>
      <c r="CB21">
        <v>5.26</v>
      </c>
      <c r="CC21">
        <v>1.86</v>
      </c>
      <c r="CM21">
        <v>5.0000000000000001E-3</v>
      </c>
    </row>
    <row r="22" spans="1:105" x14ac:dyDescent="0.25">
      <c r="A22">
        <v>22</v>
      </c>
      <c r="B22" s="1">
        <v>44343</v>
      </c>
      <c r="C22" s="2">
        <v>0.55555555555555558</v>
      </c>
      <c r="D22">
        <v>2726</v>
      </c>
      <c r="E22" t="s">
        <v>219</v>
      </c>
      <c r="F22" t="s">
        <v>251</v>
      </c>
      <c r="G22">
        <v>2</v>
      </c>
      <c r="H22">
        <v>31</v>
      </c>
      <c r="I22">
        <v>2</v>
      </c>
      <c r="J22" t="s">
        <v>39</v>
      </c>
      <c r="K22">
        <v>22042</v>
      </c>
      <c r="L22" t="s">
        <v>241</v>
      </c>
      <c r="M22" t="s">
        <v>221</v>
      </c>
      <c r="N22" t="s">
        <v>222</v>
      </c>
      <c r="O22" t="s">
        <v>236</v>
      </c>
      <c r="Q22">
        <v>825</v>
      </c>
      <c r="R22">
        <v>150</v>
      </c>
      <c r="U22">
        <v>23.7</v>
      </c>
      <c r="V22">
        <v>7.9</v>
      </c>
      <c r="W22">
        <v>20</v>
      </c>
      <c r="Y22">
        <v>10</v>
      </c>
      <c r="Z22">
        <v>2714</v>
      </c>
      <c r="AA22">
        <v>1036.5999999999999</v>
      </c>
      <c r="AB22">
        <v>0.22989576402750053</v>
      </c>
      <c r="AC22" t="s">
        <v>40</v>
      </c>
      <c r="AD22">
        <v>2</v>
      </c>
      <c r="AE22">
        <v>41</v>
      </c>
      <c r="AF22" t="s">
        <v>224</v>
      </c>
      <c r="AG22">
        <v>3.5</v>
      </c>
      <c r="AH22">
        <v>3.2</v>
      </c>
      <c r="AI22">
        <v>3.5</v>
      </c>
      <c r="AJ22">
        <v>3.2</v>
      </c>
      <c r="AK22">
        <v>3.3499999999999996</v>
      </c>
      <c r="AL22">
        <v>80</v>
      </c>
      <c r="AM22">
        <v>82</v>
      </c>
      <c r="AN22">
        <v>80</v>
      </c>
      <c r="AO22">
        <v>86</v>
      </c>
      <c r="AP22">
        <v>82</v>
      </c>
      <c r="AQ22">
        <v>4</v>
      </c>
      <c r="AR22">
        <v>80</v>
      </c>
      <c r="AS22">
        <v>70</v>
      </c>
      <c r="AT22">
        <v>2.4</v>
      </c>
      <c r="AU22">
        <v>12.4</v>
      </c>
      <c r="AV22">
        <v>11.9</v>
      </c>
      <c r="AW22">
        <v>2.4</v>
      </c>
      <c r="AX22">
        <v>0.10440000000000001</v>
      </c>
      <c r="AY22">
        <v>5</v>
      </c>
      <c r="AZ22">
        <v>5</v>
      </c>
      <c r="BA22">
        <v>83</v>
      </c>
      <c r="BB22">
        <v>85</v>
      </c>
      <c r="BC22">
        <v>82</v>
      </c>
      <c r="BD22" s="2">
        <v>0.26597222222222222</v>
      </c>
      <c r="BE22">
        <v>6</v>
      </c>
      <c r="BF22" t="s">
        <v>42</v>
      </c>
      <c r="BG22" t="s">
        <v>254</v>
      </c>
      <c r="BH22">
        <v>15</v>
      </c>
      <c r="BI22" t="s">
        <v>43</v>
      </c>
      <c r="BJ22" t="s">
        <v>253</v>
      </c>
      <c r="BK22">
        <v>151.9</v>
      </c>
      <c r="BL22">
        <v>92</v>
      </c>
      <c r="BM22">
        <v>4</v>
      </c>
      <c r="BN22" t="s">
        <v>40</v>
      </c>
      <c r="BS22">
        <v>3.9699999999999999E-2</v>
      </c>
      <c r="BT22">
        <v>86</v>
      </c>
      <c r="BY22">
        <v>0.48720000000000002</v>
      </c>
      <c r="CA22">
        <v>0.25690000000000002</v>
      </c>
      <c r="CB22">
        <v>6.29</v>
      </c>
      <c r="CC22">
        <v>1.86</v>
      </c>
      <c r="CM22">
        <v>5.7999999999999996E-3</v>
      </c>
    </row>
    <row r="23" spans="1:105" x14ac:dyDescent="0.25">
      <c r="A23">
        <v>22</v>
      </c>
      <c r="B23" s="1">
        <v>44343</v>
      </c>
      <c r="C23" s="2">
        <v>0.4201388888888889</v>
      </c>
      <c r="D23">
        <v>2726</v>
      </c>
      <c r="E23" t="s">
        <v>219</v>
      </c>
      <c r="F23" t="s">
        <v>251</v>
      </c>
      <c r="G23">
        <v>2</v>
      </c>
      <c r="H23">
        <v>20</v>
      </c>
      <c r="I23">
        <v>1</v>
      </c>
      <c r="J23" t="s">
        <v>39</v>
      </c>
      <c r="K23">
        <v>22042</v>
      </c>
      <c r="L23" t="s">
        <v>241</v>
      </c>
      <c r="M23" t="s">
        <v>221</v>
      </c>
      <c r="N23" t="s">
        <v>222</v>
      </c>
      <c r="O23" t="s">
        <v>236</v>
      </c>
      <c r="Q23">
        <v>825</v>
      </c>
      <c r="R23">
        <v>150</v>
      </c>
      <c r="U23">
        <v>23.7</v>
      </c>
      <c r="V23">
        <v>7.9</v>
      </c>
      <c r="W23">
        <v>20</v>
      </c>
      <c r="Y23">
        <v>10</v>
      </c>
      <c r="Z23">
        <v>2714</v>
      </c>
      <c r="AA23">
        <v>1036.5999999999999</v>
      </c>
      <c r="AB23">
        <v>0.22989576402750053</v>
      </c>
      <c r="AC23" t="s">
        <v>40</v>
      </c>
      <c r="AD23">
        <v>2</v>
      </c>
      <c r="AE23">
        <v>41</v>
      </c>
      <c r="AF23" t="s">
        <v>224</v>
      </c>
      <c r="AG23">
        <v>3.7</v>
      </c>
      <c r="AH23">
        <v>3.7</v>
      </c>
      <c r="AI23">
        <v>3.7</v>
      </c>
      <c r="AJ23">
        <v>3.7</v>
      </c>
      <c r="AK23">
        <v>3.7</v>
      </c>
      <c r="AL23">
        <v>62</v>
      </c>
      <c r="AM23">
        <v>62</v>
      </c>
      <c r="AN23">
        <v>64</v>
      </c>
      <c r="AO23">
        <v>52</v>
      </c>
      <c r="AP23">
        <v>60</v>
      </c>
      <c r="AQ23">
        <v>4</v>
      </c>
      <c r="AR23">
        <v>79</v>
      </c>
      <c r="AS23">
        <v>70</v>
      </c>
      <c r="AT23">
        <v>2.4</v>
      </c>
      <c r="AU23">
        <v>13.7</v>
      </c>
      <c r="AV23">
        <v>13.7</v>
      </c>
      <c r="AW23">
        <v>8.6999999999999993</v>
      </c>
      <c r="AX23">
        <v>8.3000000000000004E-2</v>
      </c>
      <c r="AY23">
        <v>5</v>
      </c>
      <c r="AZ23">
        <v>5</v>
      </c>
      <c r="BA23">
        <v>83</v>
      </c>
      <c r="BB23">
        <v>85</v>
      </c>
      <c r="BC23">
        <v>82</v>
      </c>
      <c r="BD23" s="2">
        <v>0.27083333333333331</v>
      </c>
      <c r="BE23">
        <v>40</v>
      </c>
      <c r="BF23" t="s">
        <v>42</v>
      </c>
      <c r="BG23" t="s">
        <v>255</v>
      </c>
      <c r="BH23">
        <v>15</v>
      </c>
      <c r="BI23" t="s">
        <v>43</v>
      </c>
      <c r="BJ23" t="s">
        <v>253</v>
      </c>
      <c r="BK23">
        <v>182.9</v>
      </c>
      <c r="BL23">
        <v>92.1</v>
      </c>
      <c r="BM23">
        <v>5</v>
      </c>
      <c r="BN23" t="s">
        <v>40</v>
      </c>
      <c r="BS23">
        <v>3.85E-2</v>
      </c>
      <c r="BT23">
        <v>87</v>
      </c>
      <c r="BU23">
        <v>2.0999999999999999E-3</v>
      </c>
      <c r="BV23">
        <v>1.1999999999999999E-3</v>
      </c>
      <c r="BW23">
        <v>2.0999999999999999E-3</v>
      </c>
      <c r="BX23">
        <v>1.03E-2</v>
      </c>
      <c r="BY23">
        <v>0.46660000000000001</v>
      </c>
      <c r="CA23">
        <v>0.25600000000000001</v>
      </c>
      <c r="CB23">
        <v>5.19</v>
      </c>
      <c r="CC23">
        <v>1.86</v>
      </c>
      <c r="CM23">
        <v>6.1000000000000004E-3</v>
      </c>
    </row>
    <row r="24" spans="1:105" x14ac:dyDescent="0.25">
      <c r="A24">
        <v>22</v>
      </c>
      <c r="B24" s="1">
        <v>44343</v>
      </c>
      <c r="C24" s="2">
        <v>0.30902777777777779</v>
      </c>
      <c r="D24">
        <v>2726</v>
      </c>
      <c r="E24" t="s">
        <v>219</v>
      </c>
      <c r="F24" t="s">
        <v>251</v>
      </c>
      <c r="G24">
        <v>2</v>
      </c>
      <c r="H24">
        <v>6</v>
      </c>
      <c r="I24">
        <v>1</v>
      </c>
      <c r="J24" t="s">
        <v>39</v>
      </c>
      <c r="K24">
        <v>22042</v>
      </c>
      <c r="L24" t="s">
        <v>241</v>
      </c>
      <c r="M24" t="s">
        <v>221</v>
      </c>
      <c r="N24" t="s">
        <v>222</v>
      </c>
      <c r="O24" t="s">
        <v>236</v>
      </c>
      <c r="Q24">
        <v>825</v>
      </c>
      <c r="R24">
        <v>150</v>
      </c>
      <c r="U24">
        <v>23.7</v>
      </c>
      <c r="V24">
        <v>7.9</v>
      </c>
      <c r="W24">
        <v>20</v>
      </c>
      <c r="Y24">
        <v>10</v>
      </c>
      <c r="Z24">
        <v>2714</v>
      </c>
      <c r="AA24">
        <v>1036.5999999999999</v>
      </c>
      <c r="AB24">
        <v>0.22989576402750053</v>
      </c>
      <c r="AC24">
        <v>0.27529999999999999</v>
      </c>
      <c r="AD24">
        <v>2</v>
      </c>
      <c r="AE24">
        <v>41</v>
      </c>
      <c r="AF24" t="s">
        <v>224</v>
      </c>
      <c r="AG24">
        <v>3.7</v>
      </c>
      <c r="AH24">
        <v>3.7</v>
      </c>
      <c r="AI24">
        <v>3.7</v>
      </c>
      <c r="AJ24">
        <v>3.7</v>
      </c>
      <c r="AK24">
        <v>3.7</v>
      </c>
      <c r="AL24">
        <v>52</v>
      </c>
      <c r="AM24">
        <v>54</v>
      </c>
      <c r="AN24">
        <v>50</v>
      </c>
      <c r="AO24">
        <v>60</v>
      </c>
      <c r="AP24">
        <v>54</v>
      </c>
      <c r="AQ24">
        <v>4</v>
      </c>
      <c r="AR24">
        <v>79</v>
      </c>
      <c r="AS24">
        <v>70</v>
      </c>
      <c r="AT24">
        <v>2.4</v>
      </c>
      <c r="AU24">
        <v>14.3</v>
      </c>
      <c r="AV24">
        <v>14.4</v>
      </c>
      <c r="AW24">
        <v>8.4</v>
      </c>
      <c r="AX24">
        <v>0.11</v>
      </c>
      <c r="AY24">
        <v>5</v>
      </c>
      <c r="AZ24">
        <v>5</v>
      </c>
      <c r="BA24">
        <v>83</v>
      </c>
      <c r="BB24">
        <v>85</v>
      </c>
      <c r="BC24">
        <v>82</v>
      </c>
      <c r="BD24" s="2">
        <v>0.28611111111111115</v>
      </c>
      <c r="BE24">
        <v>25</v>
      </c>
      <c r="BF24" t="s">
        <v>42</v>
      </c>
      <c r="BG24" t="s">
        <v>256</v>
      </c>
      <c r="BH24">
        <v>15</v>
      </c>
      <c r="BI24" t="s">
        <v>43</v>
      </c>
      <c r="BJ24" t="s">
        <v>253</v>
      </c>
      <c r="BK24">
        <v>152</v>
      </c>
      <c r="BL24">
        <v>92.5</v>
      </c>
      <c r="BM24">
        <v>4</v>
      </c>
      <c r="BN24" t="s">
        <v>40</v>
      </c>
      <c r="BO24">
        <v>1678.97</v>
      </c>
      <c r="BQ24">
        <v>3.9600000000000003E-2</v>
      </c>
      <c r="BR24">
        <v>87</v>
      </c>
      <c r="BS24">
        <v>3.9899999999999998E-2</v>
      </c>
      <c r="BT24">
        <v>86</v>
      </c>
      <c r="BY24">
        <v>0.49609999999999999</v>
      </c>
      <c r="CA24">
        <v>0.2777</v>
      </c>
      <c r="CB24">
        <v>5.48</v>
      </c>
      <c r="CC24">
        <v>1.85</v>
      </c>
      <c r="CD24">
        <v>1.0489999999999999</v>
      </c>
      <c r="CE24">
        <v>7.8399999999999997E-2</v>
      </c>
      <c r="CF24">
        <v>2.3099999999999999E-2</v>
      </c>
      <c r="CG24">
        <v>2.07E-2</v>
      </c>
      <c r="CH24">
        <v>2.4400000000000002E-2</v>
      </c>
      <c r="CI24">
        <v>2.1700000000000001E-2</v>
      </c>
      <c r="CJ24">
        <v>2.2499999999999999E-2</v>
      </c>
      <c r="CK24">
        <v>2.23E-2</v>
      </c>
      <c r="CL24">
        <v>3.5200000000000002E-2</v>
      </c>
      <c r="CM24">
        <v>1.6999999999999999E-3</v>
      </c>
      <c r="CN24">
        <v>0.27529999999999999</v>
      </c>
      <c r="CO24">
        <v>0.25700000000000001</v>
      </c>
      <c r="CP24">
        <v>0.25580000000000003</v>
      </c>
      <c r="DA24">
        <v>7.41</v>
      </c>
    </row>
    <row r="25" spans="1:105" x14ac:dyDescent="0.25">
      <c r="A25">
        <v>22</v>
      </c>
      <c r="B25" s="1">
        <v>44342</v>
      </c>
      <c r="C25" s="2">
        <v>0.67361111111111116</v>
      </c>
      <c r="D25">
        <v>2726</v>
      </c>
      <c r="E25" t="s">
        <v>219</v>
      </c>
      <c r="F25" t="s">
        <v>257</v>
      </c>
      <c r="G25">
        <v>2</v>
      </c>
      <c r="H25">
        <v>41</v>
      </c>
      <c r="I25">
        <v>2</v>
      </c>
      <c r="J25" t="s">
        <v>39</v>
      </c>
      <c r="K25">
        <v>22106</v>
      </c>
      <c r="L25" t="s">
        <v>241</v>
      </c>
      <c r="M25" t="s">
        <v>221</v>
      </c>
      <c r="N25" t="s">
        <v>222</v>
      </c>
      <c r="O25" t="s">
        <v>236</v>
      </c>
      <c r="Q25">
        <v>825</v>
      </c>
      <c r="R25">
        <v>150</v>
      </c>
      <c r="U25">
        <v>23.7</v>
      </c>
      <c r="V25">
        <v>7.9</v>
      </c>
      <c r="W25">
        <v>20</v>
      </c>
      <c r="Y25">
        <v>10</v>
      </c>
      <c r="Z25">
        <v>2727</v>
      </c>
      <c r="AA25">
        <v>1036.5999999999999</v>
      </c>
      <c r="AB25">
        <v>0.22923485183547102</v>
      </c>
      <c r="AC25" t="s">
        <v>40</v>
      </c>
      <c r="AD25">
        <v>1</v>
      </c>
      <c r="AE25">
        <v>33</v>
      </c>
      <c r="AF25" t="s">
        <v>244</v>
      </c>
      <c r="AG25">
        <v>3.3</v>
      </c>
      <c r="AH25">
        <v>3.3</v>
      </c>
      <c r="AI25">
        <v>3.5</v>
      </c>
      <c r="AJ25">
        <v>3.3</v>
      </c>
      <c r="AK25">
        <v>3.3499999999999996</v>
      </c>
      <c r="AL25">
        <v>72</v>
      </c>
      <c r="AM25">
        <v>37</v>
      </c>
      <c r="AN25">
        <v>60</v>
      </c>
      <c r="AO25">
        <v>68</v>
      </c>
      <c r="AP25">
        <v>59.25</v>
      </c>
      <c r="AQ25">
        <v>4</v>
      </c>
      <c r="AR25">
        <v>75</v>
      </c>
      <c r="AS25">
        <v>70</v>
      </c>
      <c r="AT25">
        <v>2.4</v>
      </c>
      <c r="AU25">
        <v>14.7</v>
      </c>
      <c r="AV25">
        <v>15.1</v>
      </c>
      <c r="AW25">
        <v>7.8</v>
      </c>
      <c r="AX25">
        <v>0.1525</v>
      </c>
      <c r="AY25">
        <v>5</v>
      </c>
      <c r="AZ25">
        <v>5</v>
      </c>
      <c r="BA25">
        <v>83</v>
      </c>
      <c r="BB25">
        <v>85</v>
      </c>
      <c r="BC25">
        <v>82</v>
      </c>
      <c r="BF25" t="s">
        <v>237</v>
      </c>
      <c r="BG25" t="s">
        <v>258</v>
      </c>
      <c r="BH25">
        <v>14</v>
      </c>
      <c r="BI25" t="s">
        <v>43</v>
      </c>
      <c r="BJ25" t="s">
        <v>238</v>
      </c>
      <c r="BK25">
        <v>182.6</v>
      </c>
      <c r="BL25">
        <v>92</v>
      </c>
      <c r="BM25">
        <v>0</v>
      </c>
      <c r="BN25" t="s">
        <v>40</v>
      </c>
      <c r="BQ25">
        <v>4.1099999999999998E-2</v>
      </c>
      <c r="BR25">
        <v>87</v>
      </c>
      <c r="BS25">
        <v>3.9300000000000002E-2</v>
      </c>
      <c r="BT25">
        <v>86</v>
      </c>
      <c r="BY25">
        <v>0.4345</v>
      </c>
      <c r="CA25">
        <v>0.25929999999999997</v>
      </c>
      <c r="CB25">
        <v>5.15</v>
      </c>
      <c r="CC25">
        <v>1.84</v>
      </c>
      <c r="CM25">
        <v>1.8E-3</v>
      </c>
    </row>
    <row r="26" spans="1:105" x14ac:dyDescent="0.25">
      <c r="A26">
        <v>22</v>
      </c>
      <c r="B26" s="1">
        <v>44342</v>
      </c>
      <c r="C26" s="2">
        <v>0.60069444444444442</v>
      </c>
      <c r="D26">
        <v>2726</v>
      </c>
      <c r="E26" t="s">
        <v>219</v>
      </c>
      <c r="F26" t="s">
        <v>257</v>
      </c>
      <c r="G26">
        <v>2</v>
      </c>
      <c r="H26">
        <v>35</v>
      </c>
      <c r="I26">
        <v>2</v>
      </c>
      <c r="J26" t="s">
        <v>39</v>
      </c>
      <c r="K26">
        <v>22106</v>
      </c>
      <c r="L26" t="s">
        <v>241</v>
      </c>
      <c r="M26" t="s">
        <v>221</v>
      </c>
      <c r="N26" t="s">
        <v>222</v>
      </c>
      <c r="O26" t="s">
        <v>236</v>
      </c>
      <c r="Q26">
        <v>825</v>
      </c>
      <c r="R26">
        <v>150</v>
      </c>
      <c r="U26">
        <v>23.7</v>
      </c>
      <c r="V26">
        <v>7.9</v>
      </c>
      <c r="W26">
        <v>20</v>
      </c>
      <c r="Y26">
        <v>10</v>
      </c>
      <c r="Z26">
        <v>2727</v>
      </c>
      <c r="AA26">
        <v>1036.5999999999999</v>
      </c>
      <c r="AB26">
        <v>0.22923485183547102</v>
      </c>
      <c r="AC26" t="s">
        <v>40</v>
      </c>
      <c r="AD26">
        <v>1</v>
      </c>
      <c r="AE26">
        <v>33</v>
      </c>
      <c r="AF26" t="s">
        <v>244</v>
      </c>
      <c r="AG26">
        <v>3.3</v>
      </c>
      <c r="AH26">
        <v>3.3</v>
      </c>
      <c r="AI26">
        <v>3.5</v>
      </c>
      <c r="AJ26">
        <v>3.3</v>
      </c>
      <c r="AK26">
        <v>3.3499999999999996</v>
      </c>
      <c r="AL26">
        <v>64</v>
      </c>
      <c r="AM26">
        <v>60</v>
      </c>
      <c r="AN26">
        <v>72</v>
      </c>
      <c r="AO26">
        <v>64</v>
      </c>
      <c r="AP26">
        <v>65</v>
      </c>
      <c r="AQ26">
        <v>4</v>
      </c>
      <c r="AR26">
        <v>76</v>
      </c>
      <c r="AS26">
        <v>70</v>
      </c>
      <c r="AT26">
        <v>2.2999999999999998</v>
      </c>
      <c r="AU26">
        <v>14.9</v>
      </c>
      <c r="AV26">
        <v>15.2</v>
      </c>
      <c r="AW26">
        <v>7.9</v>
      </c>
      <c r="AX26">
        <v>0.11609999999999999</v>
      </c>
      <c r="AY26">
        <v>5</v>
      </c>
      <c r="AZ26">
        <v>5</v>
      </c>
      <c r="BA26">
        <v>83</v>
      </c>
      <c r="BB26">
        <v>85</v>
      </c>
      <c r="BC26">
        <v>82</v>
      </c>
      <c r="BD26" s="2">
        <v>0.36805555555555558</v>
      </c>
      <c r="BE26">
        <v>2</v>
      </c>
      <c r="BF26" t="s">
        <v>237</v>
      </c>
      <c r="BH26">
        <v>14</v>
      </c>
      <c r="BI26" t="s">
        <v>43</v>
      </c>
      <c r="BJ26" t="s">
        <v>238</v>
      </c>
      <c r="BK26">
        <v>182.5</v>
      </c>
      <c r="BL26">
        <v>92</v>
      </c>
      <c r="BM26">
        <v>1</v>
      </c>
      <c r="BN26" t="s">
        <v>40</v>
      </c>
      <c r="BS26">
        <v>3.8199999999999998E-2</v>
      </c>
      <c r="BT26">
        <v>82</v>
      </c>
      <c r="BY26">
        <v>0.43790000000000001</v>
      </c>
      <c r="CA26">
        <v>0.2586</v>
      </c>
      <c r="CB26">
        <v>5</v>
      </c>
      <c r="CC26">
        <v>1.84</v>
      </c>
      <c r="CM26">
        <v>2.3E-3</v>
      </c>
    </row>
    <row r="27" spans="1:105" x14ac:dyDescent="0.25">
      <c r="A27">
        <v>22</v>
      </c>
      <c r="B27" s="1">
        <v>44342</v>
      </c>
      <c r="C27" s="2">
        <v>0.4770833333333333</v>
      </c>
      <c r="D27">
        <v>2726</v>
      </c>
      <c r="E27" t="s">
        <v>219</v>
      </c>
      <c r="F27" t="s">
        <v>257</v>
      </c>
      <c r="G27">
        <v>2</v>
      </c>
      <c r="H27">
        <v>22</v>
      </c>
      <c r="I27">
        <v>1</v>
      </c>
      <c r="J27" t="s">
        <v>39</v>
      </c>
      <c r="K27">
        <v>22106</v>
      </c>
      <c r="L27" t="s">
        <v>241</v>
      </c>
      <c r="M27" t="s">
        <v>221</v>
      </c>
      <c r="N27" t="s">
        <v>222</v>
      </c>
      <c r="O27" t="s">
        <v>236</v>
      </c>
      <c r="Q27">
        <v>825</v>
      </c>
      <c r="R27">
        <v>150</v>
      </c>
      <c r="U27">
        <v>23.7</v>
      </c>
      <c r="V27">
        <v>7.9</v>
      </c>
      <c r="W27">
        <v>20</v>
      </c>
      <c r="Y27">
        <v>10</v>
      </c>
      <c r="Z27">
        <v>2727</v>
      </c>
      <c r="AA27">
        <v>1036.5999999999999</v>
      </c>
      <c r="AB27">
        <v>0.22923485183547102</v>
      </c>
      <c r="AC27" t="s">
        <v>40</v>
      </c>
      <c r="AD27">
        <v>1</v>
      </c>
      <c r="AE27">
        <v>33</v>
      </c>
      <c r="AF27" t="s">
        <v>244</v>
      </c>
      <c r="AG27">
        <v>3.3</v>
      </c>
      <c r="AH27">
        <v>3.3</v>
      </c>
      <c r="AI27">
        <v>3.5</v>
      </c>
      <c r="AJ27">
        <v>3.3</v>
      </c>
      <c r="AK27">
        <v>3.3499999999999996</v>
      </c>
      <c r="AL27">
        <v>64</v>
      </c>
      <c r="AM27">
        <v>60</v>
      </c>
      <c r="AN27">
        <v>76</v>
      </c>
      <c r="AO27">
        <v>76</v>
      </c>
      <c r="AP27">
        <v>69</v>
      </c>
      <c r="AQ27">
        <v>4</v>
      </c>
      <c r="AR27">
        <v>74</v>
      </c>
      <c r="AS27">
        <v>71</v>
      </c>
      <c r="AT27">
        <v>2.4</v>
      </c>
      <c r="AU27">
        <v>15.7</v>
      </c>
      <c r="AV27">
        <v>15.3</v>
      </c>
      <c r="AW27">
        <v>7.8</v>
      </c>
      <c r="AX27">
        <v>0.15359999999999999</v>
      </c>
      <c r="AY27">
        <v>5</v>
      </c>
      <c r="AZ27">
        <v>5</v>
      </c>
      <c r="BA27">
        <v>83</v>
      </c>
      <c r="BB27">
        <v>85</v>
      </c>
      <c r="BC27">
        <v>82</v>
      </c>
      <c r="BD27" s="2">
        <v>0.33124999999999999</v>
      </c>
      <c r="BE27">
        <v>98</v>
      </c>
      <c r="BF27" t="s">
        <v>237</v>
      </c>
      <c r="BG27" t="s">
        <v>259</v>
      </c>
      <c r="BH27">
        <v>14</v>
      </c>
      <c r="BI27" t="s">
        <v>43</v>
      </c>
      <c r="BJ27" t="s">
        <v>238</v>
      </c>
      <c r="BK27">
        <v>182.7</v>
      </c>
      <c r="BL27">
        <v>92.2</v>
      </c>
      <c r="BM27">
        <v>0</v>
      </c>
      <c r="BN27" t="s">
        <v>40</v>
      </c>
      <c r="BS27">
        <v>3.6200000000000003E-2</v>
      </c>
      <c r="BT27">
        <v>81</v>
      </c>
      <c r="BU27">
        <v>1.4E-3</v>
      </c>
      <c r="BV27">
        <v>1E-3</v>
      </c>
      <c r="BW27">
        <v>1.4E-3</v>
      </c>
      <c r="BX27">
        <v>9.9000000000000008E-3</v>
      </c>
      <c r="BY27">
        <v>0.44719999999999999</v>
      </c>
      <c r="CA27">
        <v>0.25209999999999999</v>
      </c>
      <c r="CB27">
        <v>5.15</v>
      </c>
      <c r="CC27">
        <v>1.84</v>
      </c>
      <c r="CM27">
        <v>2.8E-3</v>
      </c>
    </row>
    <row r="28" spans="1:105" x14ac:dyDescent="0.25">
      <c r="A28">
        <v>22</v>
      </c>
      <c r="B28" s="1">
        <v>44342</v>
      </c>
      <c r="C28" s="2">
        <v>0.39027777777777778</v>
      </c>
      <c r="D28">
        <v>2726</v>
      </c>
      <c r="E28" t="s">
        <v>219</v>
      </c>
      <c r="F28" t="s">
        <v>257</v>
      </c>
      <c r="G28">
        <v>2</v>
      </c>
      <c r="H28">
        <v>17</v>
      </c>
      <c r="I28">
        <v>1</v>
      </c>
      <c r="J28" t="s">
        <v>39</v>
      </c>
      <c r="K28">
        <v>22106</v>
      </c>
      <c r="L28" t="s">
        <v>241</v>
      </c>
      <c r="M28" t="s">
        <v>221</v>
      </c>
      <c r="N28" t="s">
        <v>222</v>
      </c>
      <c r="O28" t="s">
        <v>236</v>
      </c>
      <c r="Q28">
        <v>825</v>
      </c>
      <c r="R28">
        <v>150</v>
      </c>
      <c r="U28">
        <v>23.7</v>
      </c>
      <c r="V28">
        <v>7.9</v>
      </c>
      <c r="W28">
        <v>20</v>
      </c>
      <c r="Y28">
        <v>10</v>
      </c>
      <c r="Z28">
        <v>2727</v>
      </c>
      <c r="AA28">
        <v>1036.5999999999999</v>
      </c>
      <c r="AB28">
        <v>0.22923485183547102</v>
      </c>
      <c r="AC28" t="s">
        <v>40</v>
      </c>
      <c r="AD28">
        <v>1</v>
      </c>
      <c r="AE28">
        <v>33</v>
      </c>
      <c r="AF28" t="s">
        <v>244</v>
      </c>
      <c r="AG28">
        <v>3</v>
      </c>
      <c r="AH28">
        <v>3</v>
      </c>
      <c r="AI28">
        <v>3.4</v>
      </c>
      <c r="AJ28">
        <v>3</v>
      </c>
      <c r="AK28">
        <v>3.1</v>
      </c>
      <c r="AL28">
        <v>80</v>
      </c>
      <c r="AM28">
        <v>76</v>
      </c>
      <c r="AN28">
        <v>74</v>
      </c>
      <c r="AO28">
        <v>80</v>
      </c>
      <c r="AP28">
        <v>77.5</v>
      </c>
      <c r="AQ28">
        <v>4</v>
      </c>
      <c r="AR28">
        <v>73</v>
      </c>
      <c r="AS28">
        <v>71</v>
      </c>
      <c r="AT28">
        <v>2.4</v>
      </c>
      <c r="AU28">
        <v>15.2</v>
      </c>
      <c r="AV28">
        <v>14.9</v>
      </c>
      <c r="AW28">
        <v>7.6</v>
      </c>
      <c r="AX28">
        <v>0.15590000000000001</v>
      </c>
      <c r="AY28">
        <v>5</v>
      </c>
      <c r="AZ28">
        <v>5</v>
      </c>
      <c r="BA28">
        <v>83</v>
      </c>
      <c r="BB28">
        <v>85</v>
      </c>
      <c r="BC28">
        <v>82</v>
      </c>
      <c r="BD28" s="2">
        <v>0.34166666666666662</v>
      </c>
      <c r="BE28">
        <v>90</v>
      </c>
      <c r="BF28" t="s">
        <v>237</v>
      </c>
      <c r="BG28" t="s">
        <v>260</v>
      </c>
      <c r="BH28">
        <v>14</v>
      </c>
      <c r="BI28" t="s">
        <v>43</v>
      </c>
      <c r="BJ28" t="s">
        <v>238</v>
      </c>
      <c r="BK28">
        <v>182</v>
      </c>
      <c r="BL28">
        <v>92.1</v>
      </c>
      <c r="BM28">
        <v>0</v>
      </c>
      <c r="BN28" t="s">
        <v>40</v>
      </c>
      <c r="BP28">
        <v>0.12959999999999999</v>
      </c>
      <c r="BQ28">
        <v>4.1599999999999998E-2</v>
      </c>
      <c r="BR28">
        <v>80</v>
      </c>
      <c r="BS28">
        <v>3.9600000000000003E-2</v>
      </c>
      <c r="BT28">
        <v>82</v>
      </c>
      <c r="BU28">
        <v>1.1999999999999999E-3</v>
      </c>
      <c r="BV28">
        <v>1E-3</v>
      </c>
      <c r="BW28">
        <v>1.1999999999999999E-3</v>
      </c>
      <c r="BX28">
        <v>1.01E-2</v>
      </c>
      <c r="BY28">
        <v>0.4325</v>
      </c>
      <c r="CA28">
        <v>0.25609999999999999</v>
      </c>
      <c r="CB28">
        <v>5.08</v>
      </c>
      <c r="CC28">
        <v>1.85</v>
      </c>
      <c r="CM28">
        <v>7.3000000000000001E-3</v>
      </c>
      <c r="CQ28">
        <v>0.73199999999999998</v>
      </c>
      <c r="CR28">
        <v>5.55</v>
      </c>
      <c r="CS28">
        <v>1.0012000000000001</v>
      </c>
      <c r="CT28">
        <v>2.12</v>
      </c>
      <c r="CU28">
        <v>1.0048999999999999</v>
      </c>
      <c r="CV28">
        <v>1</v>
      </c>
      <c r="CW28">
        <v>1.0042</v>
      </c>
      <c r="CX28">
        <v>0.22</v>
      </c>
      <c r="CY28" t="s">
        <v>228</v>
      </c>
    </row>
    <row r="29" spans="1:105" x14ac:dyDescent="0.25">
      <c r="A29">
        <v>22</v>
      </c>
      <c r="B29" s="1">
        <v>44342</v>
      </c>
      <c r="C29" s="2">
        <v>0.29166666666666669</v>
      </c>
      <c r="D29">
        <v>2726</v>
      </c>
      <c r="E29" t="s">
        <v>219</v>
      </c>
      <c r="F29" t="s">
        <v>257</v>
      </c>
      <c r="G29">
        <v>2</v>
      </c>
      <c r="H29">
        <v>8</v>
      </c>
      <c r="I29">
        <v>1</v>
      </c>
      <c r="J29" t="s">
        <v>39</v>
      </c>
      <c r="K29">
        <v>22106</v>
      </c>
      <c r="L29" t="s">
        <v>241</v>
      </c>
      <c r="M29" t="s">
        <v>221</v>
      </c>
      <c r="N29" t="s">
        <v>222</v>
      </c>
      <c r="O29" t="s">
        <v>236</v>
      </c>
      <c r="Q29">
        <v>825</v>
      </c>
      <c r="R29">
        <v>150</v>
      </c>
      <c r="U29">
        <v>23.7</v>
      </c>
      <c r="V29">
        <v>7.9</v>
      </c>
      <c r="W29">
        <v>20</v>
      </c>
      <c r="Y29">
        <v>10</v>
      </c>
      <c r="Z29">
        <v>2727</v>
      </c>
      <c r="AA29">
        <v>1036.5999999999999</v>
      </c>
      <c r="AB29">
        <v>0.22923485183547102</v>
      </c>
      <c r="AC29">
        <v>0.23580000000000001</v>
      </c>
      <c r="AD29">
        <v>2</v>
      </c>
      <c r="AE29">
        <v>41</v>
      </c>
      <c r="AF29" t="s">
        <v>224</v>
      </c>
      <c r="AG29">
        <v>3</v>
      </c>
      <c r="AH29">
        <v>3</v>
      </c>
      <c r="AI29">
        <v>3.4</v>
      </c>
      <c r="AJ29">
        <v>3</v>
      </c>
      <c r="AK29">
        <v>3.1</v>
      </c>
      <c r="AL29">
        <v>70</v>
      </c>
      <c r="AM29">
        <v>54</v>
      </c>
      <c r="AN29">
        <v>56</v>
      </c>
      <c r="AO29">
        <v>56</v>
      </c>
      <c r="AP29">
        <v>59</v>
      </c>
      <c r="AQ29">
        <v>4</v>
      </c>
      <c r="AR29">
        <v>73</v>
      </c>
      <c r="AS29">
        <v>71</v>
      </c>
      <c r="AT29">
        <v>2.4</v>
      </c>
      <c r="AU29">
        <v>15.1</v>
      </c>
      <c r="AV29">
        <v>15</v>
      </c>
      <c r="AW29">
        <v>8.6999999999999993</v>
      </c>
      <c r="AX29">
        <v>0.17599999999999999</v>
      </c>
      <c r="AY29">
        <v>5</v>
      </c>
      <c r="AZ29">
        <v>5</v>
      </c>
      <c r="BA29">
        <v>83</v>
      </c>
      <c r="BB29">
        <v>85</v>
      </c>
      <c r="BC29">
        <v>82</v>
      </c>
      <c r="BD29" s="2">
        <v>0.3298611111111111</v>
      </c>
      <c r="BE29">
        <v>78</v>
      </c>
      <c r="BF29" t="s">
        <v>237</v>
      </c>
      <c r="BG29" t="s">
        <v>261</v>
      </c>
      <c r="BH29">
        <v>14</v>
      </c>
      <c r="BI29" t="s">
        <v>43</v>
      </c>
      <c r="BJ29" t="s">
        <v>238</v>
      </c>
      <c r="BK29">
        <v>182.8</v>
      </c>
      <c r="BL29">
        <v>92.3</v>
      </c>
      <c r="BM29">
        <v>1</v>
      </c>
      <c r="BN29" t="s">
        <v>40</v>
      </c>
      <c r="BO29">
        <v>1679.48</v>
      </c>
      <c r="BS29">
        <v>3.8300000000000001E-2</v>
      </c>
      <c r="BT29">
        <v>85</v>
      </c>
      <c r="BU29">
        <v>1.5E-3</v>
      </c>
      <c r="BV29">
        <v>1E-3</v>
      </c>
      <c r="BW29">
        <v>1.5E-3</v>
      </c>
      <c r="BX29">
        <v>9.2999999999999992E-3</v>
      </c>
      <c r="BY29">
        <v>0.4269</v>
      </c>
      <c r="CA29">
        <v>0.25819999999999999</v>
      </c>
      <c r="CB29">
        <v>5.25</v>
      </c>
      <c r="CC29">
        <v>1.85</v>
      </c>
      <c r="CD29">
        <v>1.0469999999999999</v>
      </c>
      <c r="CE29">
        <v>7.6300000000000007E-2</v>
      </c>
      <c r="CF29">
        <v>2.8799999999999999E-2</v>
      </c>
      <c r="CG29">
        <v>2.41E-2</v>
      </c>
      <c r="CH29">
        <v>2.1700000000000001E-2</v>
      </c>
      <c r="CI29">
        <v>2.35E-2</v>
      </c>
      <c r="CJ29">
        <v>2.4500000000000001E-2</v>
      </c>
      <c r="CK29">
        <v>1.0999999999999999E-2</v>
      </c>
      <c r="CL29">
        <v>4.0399999999999998E-2</v>
      </c>
      <c r="CM29">
        <v>5.1999999999999998E-3</v>
      </c>
      <c r="CN29">
        <v>0.23580000000000001</v>
      </c>
      <c r="CO29">
        <v>0.2374</v>
      </c>
      <c r="CP29">
        <v>0.22509999999999999</v>
      </c>
      <c r="CZ29">
        <v>7.51</v>
      </c>
      <c r="DA29">
        <v>15.68</v>
      </c>
    </row>
    <row r="30" spans="1:105" x14ac:dyDescent="0.25">
      <c r="A30">
        <v>22</v>
      </c>
      <c r="B30" s="1">
        <v>44342</v>
      </c>
      <c r="C30" s="2">
        <v>0.18124999999999999</v>
      </c>
      <c r="D30">
        <v>2726</v>
      </c>
      <c r="E30" t="s">
        <v>219</v>
      </c>
      <c r="F30" t="s">
        <v>257</v>
      </c>
      <c r="G30">
        <v>2</v>
      </c>
      <c r="H30">
        <v>103</v>
      </c>
      <c r="I30">
        <v>4</v>
      </c>
      <c r="J30" t="s">
        <v>39</v>
      </c>
      <c r="K30">
        <v>22106</v>
      </c>
      <c r="L30" t="s">
        <v>241</v>
      </c>
      <c r="M30" t="s">
        <v>221</v>
      </c>
      <c r="N30" t="s">
        <v>222</v>
      </c>
      <c r="O30" t="s">
        <v>236</v>
      </c>
      <c r="Q30">
        <v>825</v>
      </c>
      <c r="R30">
        <v>150</v>
      </c>
      <c r="U30">
        <v>23.7</v>
      </c>
      <c r="V30">
        <v>7.9</v>
      </c>
      <c r="W30">
        <v>20</v>
      </c>
      <c r="Y30">
        <v>10</v>
      </c>
      <c r="Z30">
        <v>2727</v>
      </c>
      <c r="AA30">
        <v>1036.5999999999999</v>
      </c>
      <c r="AB30">
        <v>0.22923485183547102</v>
      </c>
      <c r="AC30" t="s">
        <v>40</v>
      </c>
      <c r="AD30">
        <v>2</v>
      </c>
      <c r="AE30">
        <v>41</v>
      </c>
      <c r="AF30" t="s">
        <v>224</v>
      </c>
      <c r="AG30">
        <v>3.2</v>
      </c>
      <c r="AH30">
        <v>3.2</v>
      </c>
      <c r="AI30">
        <v>3.2</v>
      </c>
      <c r="AJ30">
        <v>3.2</v>
      </c>
      <c r="AK30">
        <v>3.2</v>
      </c>
      <c r="AL30">
        <v>62</v>
      </c>
      <c r="AM30">
        <v>66</v>
      </c>
      <c r="AN30">
        <v>74</v>
      </c>
      <c r="AO30">
        <v>80</v>
      </c>
      <c r="AP30">
        <v>70.5</v>
      </c>
      <c r="AQ30">
        <v>4</v>
      </c>
      <c r="AR30">
        <v>74</v>
      </c>
      <c r="AS30">
        <v>69</v>
      </c>
      <c r="AT30">
        <v>2.6</v>
      </c>
      <c r="AU30">
        <v>14.7</v>
      </c>
      <c r="AV30">
        <v>15</v>
      </c>
      <c r="AW30">
        <v>8</v>
      </c>
      <c r="AX30">
        <v>0.1106</v>
      </c>
      <c r="AY30">
        <v>5</v>
      </c>
      <c r="AZ30">
        <v>5</v>
      </c>
      <c r="BA30">
        <v>83</v>
      </c>
      <c r="BB30">
        <v>85</v>
      </c>
      <c r="BC30">
        <v>82</v>
      </c>
      <c r="BD30" s="2">
        <v>0.31319444444444444</v>
      </c>
      <c r="BE30">
        <v>66</v>
      </c>
      <c r="BF30" t="s">
        <v>262</v>
      </c>
      <c r="BH30">
        <v>14</v>
      </c>
      <c r="BI30" t="s">
        <v>43</v>
      </c>
      <c r="BJ30" t="s">
        <v>231</v>
      </c>
      <c r="BK30">
        <v>183</v>
      </c>
      <c r="BL30">
        <v>92.5</v>
      </c>
      <c r="BM30">
        <v>1</v>
      </c>
      <c r="BN30" t="s">
        <v>40</v>
      </c>
      <c r="BS30">
        <v>3.8300000000000001E-2</v>
      </c>
      <c r="BT30">
        <v>84</v>
      </c>
      <c r="BU30">
        <v>1.9E-3</v>
      </c>
      <c r="BV30">
        <v>1.2999999999999999E-3</v>
      </c>
      <c r="BW30">
        <v>1.9E-3</v>
      </c>
      <c r="BX30">
        <v>1.03E-2</v>
      </c>
      <c r="BY30">
        <v>0.52170000000000005</v>
      </c>
      <c r="CA30">
        <v>0.26350000000000001</v>
      </c>
      <c r="CB30">
        <v>5.13</v>
      </c>
      <c r="CC30">
        <v>1.86</v>
      </c>
      <c r="CM30">
        <v>5.0000000000000001E-3</v>
      </c>
    </row>
    <row r="31" spans="1:105" x14ac:dyDescent="0.25">
      <c r="A31">
        <v>22</v>
      </c>
      <c r="B31" s="1">
        <v>44342</v>
      </c>
      <c r="C31" s="2">
        <v>0.14583333333333334</v>
      </c>
      <c r="D31">
        <v>2726</v>
      </c>
      <c r="E31" t="s">
        <v>219</v>
      </c>
      <c r="F31" t="s">
        <v>257</v>
      </c>
      <c r="G31">
        <v>2</v>
      </c>
      <c r="H31">
        <v>97</v>
      </c>
      <c r="I31">
        <v>4</v>
      </c>
      <c r="J31" t="s">
        <v>39</v>
      </c>
      <c r="K31">
        <v>22106</v>
      </c>
      <c r="L31" t="s">
        <v>241</v>
      </c>
      <c r="M31" t="s">
        <v>221</v>
      </c>
      <c r="N31" t="s">
        <v>222</v>
      </c>
      <c r="O31" t="s">
        <v>236</v>
      </c>
      <c r="Q31">
        <v>825</v>
      </c>
      <c r="R31">
        <v>150</v>
      </c>
      <c r="U31">
        <v>23.7</v>
      </c>
      <c r="V31">
        <v>7.9</v>
      </c>
      <c r="W31">
        <v>20</v>
      </c>
      <c r="Y31">
        <v>10</v>
      </c>
      <c r="Z31">
        <v>2727</v>
      </c>
      <c r="AA31">
        <v>1036.5999999999999</v>
      </c>
      <c r="AB31">
        <v>0.22923485183547102</v>
      </c>
      <c r="AC31" t="s">
        <v>40</v>
      </c>
      <c r="AD31">
        <v>2</v>
      </c>
      <c r="AE31">
        <v>41</v>
      </c>
      <c r="AF31" t="s">
        <v>224</v>
      </c>
      <c r="AG31">
        <v>3</v>
      </c>
      <c r="AH31">
        <v>3</v>
      </c>
      <c r="AI31">
        <v>3.1</v>
      </c>
      <c r="AJ31">
        <v>3</v>
      </c>
      <c r="AK31">
        <v>3.0249999999999999</v>
      </c>
      <c r="AL31">
        <v>64</v>
      </c>
      <c r="AM31">
        <v>70</v>
      </c>
      <c r="AN31">
        <v>72</v>
      </c>
      <c r="AO31">
        <v>60</v>
      </c>
      <c r="AP31">
        <v>66.5</v>
      </c>
      <c r="AQ31">
        <v>4</v>
      </c>
      <c r="AR31">
        <v>74</v>
      </c>
      <c r="AS31">
        <v>69</v>
      </c>
      <c r="AT31">
        <v>2.5</v>
      </c>
      <c r="AU31">
        <v>15.4</v>
      </c>
      <c r="AV31">
        <v>14.5</v>
      </c>
      <c r="AW31">
        <v>9</v>
      </c>
      <c r="AX31">
        <v>0.11609999999999999</v>
      </c>
      <c r="AY31">
        <v>5</v>
      </c>
      <c r="AZ31">
        <v>5</v>
      </c>
      <c r="BA31">
        <v>83</v>
      </c>
      <c r="BB31">
        <v>85</v>
      </c>
      <c r="BC31">
        <v>82</v>
      </c>
      <c r="BD31" s="2">
        <v>0.32500000000000001</v>
      </c>
      <c r="BE31">
        <v>60</v>
      </c>
      <c r="BF31" t="s">
        <v>262</v>
      </c>
      <c r="BG31" t="s">
        <v>263</v>
      </c>
      <c r="BH31">
        <v>14</v>
      </c>
      <c r="BI31" t="s">
        <v>43</v>
      </c>
      <c r="BJ31" t="s">
        <v>231</v>
      </c>
      <c r="BK31">
        <v>183</v>
      </c>
      <c r="BL31">
        <v>92.1</v>
      </c>
      <c r="BM31">
        <v>2</v>
      </c>
      <c r="BN31" t="s">
        <v>40</v>
      </c>
      <c r="BS31">
        <v>4.07E-2</v>
      </c>
      <c r="BT31">
        <v>84</v>
      </c>
      <c r="BU31">
        <v>2.2000000000000001E-3</v>
      </c>
      <c r="BV31">
        <v>1.4E-3</v>
      </c>
      <c r="BW31">
        <v>2.2000000000000001E-3</v>
      </c>
      <c r="BX31">
        <v>7.9000000000000008E-3</v>
      </c>
      <c r="BY31">
        <v>0.52969999999999995</v>
      </c>
      <c r="CA31">
        <v>0.26300000000000001</v>
      </c>
      <c r="CB31">
        <v>5.24</v>
      </c>
      <c r="CC31">
        <v>1.85</v>
      </c>
      <c r="CM31">
        <v>5.7000000000000002E-3</v>
      </c>
    </row>
    <row r="32" spans="1:105" x14ac:dyDescent="0.25">
      <c r="A32">
        <v>22</v>
      </c>
      <c r="B32" s="1">
        <v>44342</v>
      </c>
      <c r="C32" s="2">
        <v>3.4722222222222224E-2</v>
      </c>
      <c r="D32">
        <v>2726</v>
      </c>
      <c r="E32" t="s">
        <v>219</v>
      </c>
      <c r="F32" t="s">
        <v>257</v>
      </c>
      <c r="G32">
        <v>2</v>
      </c>
      <c r="H32">
        <v>87</v>
      </c>
      <c r="I32">
        <v>4</v>
      </c>
      <c r="J32" t="s">
        <v>39</v>
      </c>
      <c r="K32">
        <v>22106</v>
      </c>
      <c r="L32" t="s">
        <v>241</v>
      </c>
      <c r="M32" t="s">
        <v>221</v>
      </c>
      <c r="N32" t="s">
        <v>222</v>
      </c>
      <c r="O32" t="s">
        <v>236</v>
      </c>
      <c r="Q32">
        <v>825</v>
      </c>
      <c r="R32">
        <v>150</v>
      </c>
      <c r="U32">
        <v>23.7</v>
      </c>
      <c r="V32">
        <v>7.9</v>
      </c>
      <c r="W32">
        <v>20</v>
      </c>
      <c r="Y32">
        <v>10</v>
      </c>
      <c r="Z32">
        <v>2727</v>
      </c>
      <c r="AA32">
        <v>1036.5999999999999</v>
      </c>
      <c r="AB32">
        <v>0.22923485183547102</v>
      </c>
      <c r="AC32" t="s">
        <v>40</v>
      </c>
      <c r="AD32">
        <v>2</v>
      </c>
      <c r="AE32">
        <v>41</v>
      </c>
      <c r="AF32" t="s">
        <v>224</v>
      </c>
      <c r="AG32">
        <v>3.7</v>
      </c>
      <c r="AH32">
        <v>3.6</v>
      </c>
      <c r="AI32">
        <v>3.6</v>
      </c>
      <c r="AJ32">
        <v>3.7</v>
      </c>
      <c r="AK32">
        <v>3.6500000000000004</v>
      </c>
      <c r="AL32">
        <v>50</v>
      </c>
      <c r="AM32">
        <v>48</v>
      </c>
      <c r="AN32">
        <v>66</v>
      </c>
      <c r="AO32">
        <v>52</v>
      </c>
      <c r="AP32">
        <v>54</v>
      </c>
      <c r="AQ32">
        <v>5</v>
      </c>
      <c r="AR32">
        <v>76</v>
      </c>
      <c r="AS32">
        <v>68</v>
      </c>
      <c r="AT32">
        <v>3.7</v>
      </c>
      <c r="AU32">
        <v>15.7</v>
      </c>
      <c r="AV32">
        <v>14.7</v>
      </c>
      <c r="AW32">
        <v>11.2</v>
      </c>
      <c r="AX32">
        <v>9.8799999999999999E-2</v>
      </c>
      <c r="AY32">
        <v>5</v>
      </c>
      <c r="AZ32">
        <v>5</v>
      </c>
      <c r="BA32">
        <v>83</v>
      </c>
      <c r="BB32">
        <v>85</v>
      </c>
      <c r="BC32">
        <v>82</v>
      </c>
      <c r="BD32" s="2">
        <v>0.27777777777777779</v>
      </c>
      <c r="BE32">
        <v>52</v>
      </c>
      <c r="BF32" t="s">
        <v>262</v>
      </c>
      <c r="BG32" t="s">
        <v>264</v>
      </c>
      <c r="BH32">
        <v>14</v>
      </c>
      <c r="BI32" t="s">
        <v>43</v>
      </c>
      <c r="BJ32" t="s">
        <v>231</v>
      </c>
      <c r="BK32">
        <v>183</v>
      </c>
      <c r="BL32">
        <v>92.8</v>
      </c>
      <c r="BM32">
        <v>1</v>
      </c>
      <c r="BN32" t="s">
        <v>40</v>
      </c>
      <c r="BS32">
        <v>0.04</v>
      </c>
      <c r="BT32">
        <v>84</v>
      </c>
      <c r="BU32">
        <v>2.3E-3</v>
      </c>
      <c r="BV32">
        <v>1.4E-3</v>
      </c>
      <c r="BW32">
        <v>2.3E-3</v>
      </c>
      <c r="BX32">
        <v>0.01</v>
      </c>
      <c r="BY32">
        <v>0.58530000000000004</v>
      </c>
      <c r="CA32">
        <v>0.28160000000000002</v>
      </c>
      <c r="CB32">
        <v>4.8899999999999997</v>
      </c>
      <c r="CC32">
        <v>1.78</v>
      </c>
      <c r="CM32">
        <v>3.5000000000000001E-3</v>
      </c>
    </row>
    <row r="33" spans="1:105" x14ac:dyDescent="0.25">
      <c r="A33">
        <v>22</v>
      </c>
      <c r="B33" s="1">
        <v>44341</v>
      </c>
      <c r="C33" s="2">
        <v>0.89930555555555547</v>
      </c>
      <c r="D33">
        <v>2726</v>
      </c>
      <c r="E33" t="s">
        <v>219</v>
      </c>
      <c r="F33" t="s">
        <v>257</v>
      </c>
      <c r="G33">
        <v>2</v>
      </c>
      <c r="H33">
        <v>70</v>
      </c>
      <c r="I33">
        <v>3</v>
      </c>
      <c r="J33" t="s">
        <v>39</v>
      </c>
      <c r="K33">
        <v>22106</v>
      </c>
      <c r="L33" t="s">
        <v>241</v>
      </c>
      <c r="M33" t="s">
        <v>221</v>
      </c>
      <c r="N33" t="s">
        <v>222</v>
      </c>
      <c r="O33" t="s">
        <v>236</v>
      </c>
      <c r="Q33">
        <v>825</v>
      </c>
      <c r="R33">
        <v>150</v>
      </c>
      <c r="U33">
        <v>23.7</v>
      </c>
      <c r="V33">
        <v>7.9</v>
      </c>
      <c r="W33">
        <v>20</v>
      </c>
      <c r="Y33">
        <v>10</v>
      </c>
      <c r="Z33">
        <v>2727</v>
      </c>
      <c r="AA33">
        <v>1036.5999999999999</v>
      </c>
      <c r="AB33">
        <v>0.22923485183547102</v>
      </c>
      <c r="AC33">
        <v>0.24460000000000001</v>
      </c>
      <c r="AD33">
        <v>2</v>
      </c>
      <c r="AE33">
        <v>41</v>
      </c>
      <c r="AF33" t="s">
        <v>224</v>
      </c>
      <c r="AG33">
        <v>4</v>
      </c>
      <c r="AH33">
        <v>2.8</v>
      </c>
      <c r="AI33">
        <v>4</v>
      </c>
      <c r="AJ33">
        <v>3.6</v>
      </c>
      <c r="AK33">
        <v>3.6</v>
      </c>
      <c r="AL33">
        <v>52</v>
      </c>
      <c r="AM33">
        <v>64</v>
      </c>
      <c r="AN33">
        <v>66</v>
      </c>
      <c r="AO33">
        <v>66</v>
      </c>
      <c r="AP33">
        <v>62</v>
      </c>
      <c r="AQ33">
        <v>4</v>
      </c>
      <c r="AR33">
        <v>77</v>
      </c>
      <c r="AS33">
        <v>68</v>
      </c>
      <c r="AT33">
        <v>2.5</v>
      </c>
      <c r="AU33">
        <v>15.7</v>
      </c>
      <c r="AV33">
        <v>15.1</v>
      </c>
      <c r="AW33">
        <v>10.1</v>
      </c>
      <c r="AX33">
        <v>8.9800000000000005E-2</v>
      </c>
      <c r="AY33">
        <v>5</v>
      </c>
      <c r="AZ33">
        <v>5</v>
      </c>
      <c r="BA33">
        <v>83</v>
      </c>
      <c r="BB33">
        <v>85</v>
      </c>
      <c r="BC33">
        <v>82</v>
      </c>
      <c r="BD33" s="2">
        <v>0.27499999999999997</v>
      </c>
      <c r="BE33">
        <v>54</v>
      </c>
      <c r="BF33" t="s">
        <v>262</v>
      </c>
      <c r="BG33" t="s">
        <v>265</v>
      </c>
      <c r="BH33">
        <v>13</v>
      </c>
      <c r="BI33" t="s">
        <v>43</v>
      </c>
      <c r="BJ33" t="s">
        <v>231</v>
      </c>
      <c r="BK33">
        <v>182.9</v>
      </c>
      <c r="BL33">
        <v>92.1</v>
      </c>
      <c r="BM33">
        <v>3</v>
      </c>
      <c r="BN33" t="s">
        <v>40</v>
      </c>
      <c r="BS33">
        <v>4.0399999999999998E-2</v>
      </c>
      <c r="BT33">
        <v>84</v>
      </c>
      <c r="BU33">
        <v>2.2000000000000001E-3</v>
      </c>
      <c r="BV33">
        <v>1.1999999999999999E-3</v>
      </c>
      <c r="BW33">
        <v>2.2000000000000001E-3</v>
      </c>
      <c r="BX33">
        <v>9.4000000000000004E-3</v>
      </c>
      <c r="BY33">
        <v>0.51949999999999996</v>
      </c>
      <c r="CA33">
        <v>0.26950000000000002</v>
      </c>
      <c r="CB33">
        <v>5.01</v>
      </c>
      <c r="CC33">
        <v>1.85</v>
      </c>
      <c r="CD33">
        <v>1.0489999999999999</v>
      </c>
      <c r="CE33">
        <v>7.9100000000000004E-2</v>
      </c>
      <c r="CF33">
        <v>1.9900000000000001E-2</v>
      </c>
      <c r="CG33">
        <v>3.7900000000000003E-2</v>
      </c>
      <c r="CH33">
        <v>2.3E-2</v>
      </c>
      <c r="CI33">
        <v>2.7900000000000001E-2</v>
      </c>
      <c r="CJ33">
        <v>2.7199999999999998E-2</v>
      </c>
      <c r="CK33">
        <v>1.7100000000000001E-2</v>
      </c>
      <c r="CL33">
        <v>1.9199999999999998E-2</v>
      </c>
      <c r="CM33">
        <v>4.3E-3</v>
      </c>
      <c r="CN33">
        <v>0.24460000000000001</v>
      </c>
      <c r="CO33">
        <v>0.23680000000000001</v>
      </c>
      <c r="CP33">
        <v>0.25419999999999998</v>
      </c>
    </row>
    <row r="34" spans="1:105" x14ac:dyDescent="0.25">
      <c r="A34">
        <v>22</v>
      </c>
      <c r="B34" s="1">
        <v>44341</v>
      </c>
      <c r="C34" s="2">
        <v>0.78472222222222221</v>
      </c>
      <c r="D34">
        <v>2726</v>
      </c>
      <c r="E34" t="s">
        <v>219</v>
      </c>
      <c r="F34" t="s">
        <v>257</v>
      </c>
      <c r="G34">
        <v>2</v>
      </c>
      <c r="H34">
        <v>56</v>
      </c>
      <c r="I34">
        <v>3</v>
      </c>
      <c r="J34" t="s">
        <v>39</v>
      </c>
      <c r="K34">
        <v>22106</v>
      </c>
      <c r="L34" t="s">
        <v>241</v>
      </c>
      <c r="M34" t="s">
        <v>221</v>
      </c>
      <c r="N34" t="s">
        <v>222</v>
      </c>
      <c r="O34" t="s">
        <v>236</v>
      </c>
      <c r="Q34">
        <v>825</v>
      </c>
      <c r="R34">
        <v>150</v>
      </c>
      <c r="U34">
        <v>23.7</v>
      </c>
      <c r="V34">
        <v>7.9</v>
      </c>
      <c r="W34">
        <v>20</v>
      </c>
      <c r="Y34">
        <v>10</v>
      </c>
      <c r="Z34">
        <v>2727</v>
      </c>
      <c r="AA34">
        <v>1036.5999999999999</v>
      </c>
      <c r="AB34">
        <v>0.22923485183547102</v>
      </c>
      <c r="AC34" t="s">
        <v>40</v>
      </c>
      <c r="AD34">
        <v>2</v>
      </c>
      <c r="AE34">
        <v>41</v>
      </c>
      <c r="AF34" t="s">
        <v>224</v>
      </c>
      <c r="AG34">
        <v>4.0999999999999996</v>
      </c>
      <c r="AH34">
        <v>3.5</v>
      </c>
      <c r="AI34">
        <v>3.6</v>
      </c>
      <c r="AJ34">
        <v>3.8</v>
      </c>
      <c r="AK34">
        <v>3.75</v>
      </c>
      <c r="AL34">
        <v>64</v>
      </c>
      <c r="AM34">
        <v>66</v>
      </c>
      <c r="AN34">
        <v>72</v>
      </c>
      <c r="AO34">
        <v>80</v>
      </c>
      <c r="AP34">
        <v>70.5</v>
      </c>
      <c r="AQ34">
        <v>4</v>
      </c>
      <c r="AR34">
        <v>76</v>
      </c>
      <c r="AS34">
        <v>69</v>
      </c>
      <c r="AT34">
        <v>2.6</v>
      </c>
      <c r="AU34">
        <v>14.7</v>
      </c>
      <c r="AV34">
        <v>15.2</v>
      </c>
      <c r="AW34">
        <v>9.1999999999999993</v>
      </c>
      <c r="AX34">
        <v>4.6600000000000003E-2</v>
      </c>
      <c r="AY34">
        <v>5</v>
      </c>
      <c r="AZ34">
        <v>5</v>
      </c>
      <c r="BA34">
        <v>83</v>
      </c>
      <c r="BB34">
        <v>85</v>
      </c>
      <c r="BC34">
        <v>82</v>
      </c>
      <c r="BD34" s="2">
        <v>0.28125</v>
      </c>
      <c r="BE34">
        <v>22</v>
      </c>
      <c r="BF34" t="s">
        <v>262</v>
      </c>
      <c r="BG34" t="s">
        <v>266</v>
      </c>
      <c r="BH34">
        <v>13</v>
      </c>
      <c r="BI34" t="s">
        <v>43</v>
      </c>
      <c r="BJ34" t="s">
        <v>231</v>
      </c>
      <c r="BK34">
        <v>183</v>
      </c>
      <c r="BL34">
        <v>91.9</v>
      </c>
      <c r="BM34">
        <v>2</v>
      </c>
      <c r="BN34" t="s">
        <v>40</v>
      </c>
      <c r="BS34">
        <v>4.0399999999999998E-2</v>
      </c>
      <c r="BT34">
        <v>83</v>
      </c>
      <c r="BY34">
        <v>0.52500000000000002</v>
      </c>
      <c r="CA34">
        <v>0.26090000000000002</v>
      </c>
      <c r="CB34">
        <v>5.09</v>
      </c>
      <c r="CC34">
        <v>1.85</v>
      </c>
      <c r="CM34">
        <v>3.3999999999999998E-3</v>
      </c>
    </row>
    <row r="35" spans="1:105" x14ac:dyDescent="0.25">
      <c r="A35">
        <v>22</v>
      </c>
      <c r="B35" s="1">
        <v>44341</v>
      </c>
      <c r="C35" s="2">
        <v>0.67708333333333337</v>
      </c>
      <c r="D35">
        <v>2726</v>
      </c>
      <c r="E35" t="s">
        <v>219</v>
      </c>
      <c r="F35" t="s">
        <v>257</v>
      </c>
      <c r="G35">
        <v>2</v>
      </c>
      <c r="H35">
        <v>40</v>
      </c>
      <c r="I35">
        <v>2</v>
      </c>
      <c r="J35" t="s">
        <v>39</v>
      </c>
      <c r="K35">
        <v>22106</v>
      </c>
      <c r="L35" t="s">
        <v>241</v>
      </c>
      <c r="M35" t="s">
        <v>221</v>
      </c>
      <c r="N35" t="s">
        <v>222</v>
      </c>
      <c r="O35" t="s">
        <v>236</v>
      </c>
      <c r="Q35">
        <v>825</v>
      </c>
      <c r="R35">
        <v>150</v>
      </c>
      <c r="U35">
        <v>23.7</v>
      </c>
      <c r="V35">
        <v>7.9</v>
      </c>
      <c r="W35">
        <v>20</v>
      </c>
      <c r="Y35">
        <v>10</v>
      </c>
      <c r="Z35">
        <v>2727</v>
      </c>
      <c r="AA35">
        <v>1036.5999999999999</v>
      </c>
      <c r="AB35">
        <v>0.22923485183547102</v>
      </c>
      <c r="AC35" t="s">
        <v>40</v>
      </c>
      <c r="AD35">
        <v>1</v>
      </c>
      <c r="AE35">
        <v>34</v>
      </c>
      <c r="AF35" t="s">
        <v>244</v>
      </c>
      <c r="AG35">
        <v>3.5</v>
      </c>
      <c r="AH35">
        <v>3.5</v>
      </c>
      <c r="AI35">
        <v>4</v>
      </c>
      <c r="AJ35">
        <v>3.6</v>
      </c>
      <c r="AK35">
        <v>3.65</v>
      </c>
      <c r="AL35">
        <v>64</v>
      </c>
      <c r="AM35">
        <v>64</v>
      </c>
      <c r="AN35">
        <v>68</v>
      </c>
      <c r="AO35">
        <v>68</v>
      </c>
      <c r="AP35">
        <v>66</v>
      </c>
      <c r="AQ35">
        <v>4</v>
      </c>
      <c r="AR35">
        <v>76</v>
      </c>
      <c r="AS35">
        <v>70</v>
      </c>
      <c r="AT35">
        <v>2.5</v>
      </c>
      <c r="AU35">
        <v>16</v>
      </c>
      <c r="AV35">
        <v>15.9</v>
      </c>
      <c r="AW35">
        <v>7.3</v>
      </c>
      <c r="AX35">
        <v>6.8599999999999994E-2</v>
      </c>
      <c r="AY35">
        <v>7</v>
      </c>
      <c r="AZ35">
        <v>5</v>
      </c>
      <c r="BA35">
        <v>83</v>
      </c>
      <c r="BB35">
        <v>85</v>
      </c>
      <c r="BC35">
        <v>82</v>
      </c>
      <c r="BD35" s="2">
        <v>0.30277777777777776</v>
      </c>
      <c r="BE35">
        <v>10</v>
      </c>
      <c r="BF35" t="s">
        <v>237</v>
      </c>
      <c r="BH35">
        <v>13</v>
      </c>
      <c r="BI35" t="s">
        <v>43</v>
      </c>
      <c r="BJ35" t="s">
        <v>238</v>
      </c>
      <c r="BK35">
        <v>243.9</v>
      </c>
      <c r="BL35">
        <v>92.1</v>
      </c>
      <c r="BM35">
        <v>0</v>
      </c>
      <c r="BN35" t="s">
        <v>40</v>
      </c>
      <c r="BS35">
        <v>3.8800000000000001E-2</v>
      </c>
      <c r="BT35">
        <v>84</v>
      </c>
      <c r="BY35">
        <v>0.4234</v>
      </c>
      <c r="CA35">
        <v>0.26519999999999999</v>
      </c>
      <c r="CB35">
        <v>4.9800000000000004</v>
      </c>
      <c r="CC35">
        <v>1.84</v>
      </c>
      <c r="CM35">
        <v>3.8E-3</v>
      </c>
    </row>
    <row r="36" spans="1:105" x14ac:dyDescent="0.25">
      <c r="A36">
        <v>22</v>
      </c>
      <c r="B36" s="1">
        <v>44341</v>
      </c>
      <c r="C36" s="2">
        <v>0.60069444444444442</v>
      </c>
      <c r="D36">
        <v>2726</v>
      </c>
      <c r="E36" t="s">
        <v>219</v>
      </c>
      <c r="F36" t="s">
        <v>257</v>
      </c>
      <c r="G36">
        <v>2</v>
      </c>
      <c r="H36">
        <v>32</v>
      </c>
      <c r="I36">
        <v>2</v>
      </c>
      <c r="J36" t="s">
        <v>39</v>
      </c>
      <c r="K36">
        <v>22106</v>
      </c>
      <c r="L36" t="s">
        <v>241</v>
      </c>
      <c r="M36" t="s">
        <v>221</v>
      </c>
      <c r="N36" t="s">
        <v>222</v>
      </c>
      <c r="O36" t="s">
        <v>236</v>
      </c>
      <c r="Q36">
        <v>825</v>
      </c>
      <c r="R36">
        <v>150</v>
      </c>
      <c r="U36">
        <v>23.7</v>
      </c>
      <c r="V36">
        <v>7.9</v>
      </c>
      <c r="W36">
        <v>20</v>
      </c>
      <c r="Y36">
        <v>10</v>
      </c>
      <c r="Z36">
        <v>2727</v>
      </c>
      <c r="AA36">
        <v>1036.5999999999999</v>
      </c>
      <c r="AB36">
        <v>0.22923485183547102</v>
      </c>
      <c r="AC36" t="s">
        <v>40</v>
      </c>
      <c r="AD36">
        <v>1</v>
      </c>
      <c r="AE36">
        <v>34</v>
      </c>
      <c r="AF36" t="s">
        <v>244</v>
      </c>
      <c r="AG36">
        <v>3.5</v>
      </c>
      <c r="AH36">
        <v>3.5</v>
      </c>
      <c r="AI36">
        <v>4</v>
      </c>
      <c r="AJ36">
        <v>3.6</v>
      </c>
      <c r="AK36">
        <v>3.65</v>
      </c>
      <c r="AL36">
        <v>62</v>
      </c>
      <c r="AM36">
        <v>64</v>
      </c>
      <c r="AN36">
        <v>70</v>
      </c>
      <c r="AO36">
        <v>70</v>
      </c>
      <c r="AP36">
        <v>66.5</v>
      </c>
      <c r="AQ36">
        <v>4</v>
      </c>
      <c r="AR36">
        <v>76</v>
      </c>
      <c r="AS36">
        <v>70</v>
      </c>
      <c r="AT36">
        <v>2.5</v>
      </c>
      <c r="AU36">
        <v>14.4</v>
      </c>
      <c r="AV36">
        <v>15.1</v>
      </c>
      <c r="AW36">
        <v>7.2</v>
      </c>
      <c r="AX36">
        <v>7.0999999999999994E-2</v>
      </c>
      <c r="AY36">
        <v>7</v>
      </c>
      <c r="AZ36">
        <v>5</v>
      </c>
      <c r="BA36">
        <v>83</v>
      </c>
      <c r="BB36">
        <v>85</v>
      </c>
      <c r="BC36">
        <v>82</v>
      </c>
      <c r="BD36" s="2">
        <v>0.3298611111111111</v>
      </c>
      <c r="BE36">
        <v>1</v>
      </c>
      <c r="BF36" t="s">
        <v>237</v>
      </c>
      <c r="BH36">
        <v>13</v>
      </c>
      <c r="BI36" t="s">
        <v>43</v>
      </c>
      <c r="BJ36" t="s">
        <v>238</v>
      </c>
      <c r="BN36" t="s">
        <v>40</v>
      </c>
      <c r="BS36">
        <v>4.07E-2</v>
      </c>
      <c r="BT36">
        <v>81</v>
      </c>
      <c r="BU36">
        <v>1.6999999999999999E-3</v>
      </c>
      <c r="BV36">
        <v>1.1999999999999999E-3</v>
      </c>
      <c r="BW36">
        <v>1.6999999999999999E-3</v>
      </c>
      <c r="BX36">
        <v>9.7999999999999997E-3</v>
      </c>
      <c r="BY36">
        <v>0.42570000000000002</v>
      </c>
      <c r="CA36">
        <v>0.2601</v>
      </c>
      <c r="CB36">
        <v>5.29</v>
      </c>
      <c r="CC36">
        <v>1.84</v>
      </c>
      <c r="CM36">
        <v>2.8E-3</v>
      </c>
    </row>
    <row r="37" spans="1:105" x14ac:dyDescent="0.25">
      <c r="A37">
        <v>22</v>
      </c>
      <c r="B37" s="1">
        <v>44341</v>
      </c>
      <c r="C37" s="2">
        <v>0.49305555555555558</v>
      </c>
      <c r="D37">
        <v>2726</v>
      </c>
      <c r="E37" t="s">
        <v>219</v>
      </c>
      <c r="F37" t="s">
        <v>257</v>
      </c>
      <c r="G37">
        <v>2</v>
      </c>
      <c r="H37">
        <v>22</v>
      </c>
      <c r="I37">
        <v>1</v>
      </c>
      <c r="J37" t="s">
        <v>39</v>
      </c>
      <c r="K37">
        <v>22106</v>
      </c>
      <c r="L37" t="s">
        <v>241</v>
      </c>
      <c r="M37" t="s">
        <v>221</v>
      </c>
      <c r="N37" t="s">
        <v>222</v>
      </c>
      <c r="O37" t="s">
        <v>236</v>
      </c>
      <c r="Q37">
        <v>825</v>
      </c>
      <c r="R37">
        <v>150</v>
      </c>
      <c r="U37">
        <v>23.7</v>
      </c>
      <c r="V37">
        <v>7.9</v>
      </c>
      <c r="W37">
        <v>20</v>
      </c>
      <c r="Y37">
        <v>10</v>
      </c>
      <c r="Z37">
        <v>2727</v>
      </c>
      <c r="AA37">
        <v>1036.5999999999999</v>
      </c>
      <c r="AB37">
        <v>0.22923485183547102</v>
      </c>
      <c r="AC37" t="s">
        <v>40</v>
      </c>
      <c r="AD37">
        <v>2</v>
      </c>
      <c r="AE37">
        <v>41</v>
      </c>
      <c r="AF37" t="s">
        <v>224</v>
      </c>
      <c r="AG37">
        <v>3.2</v>
      </c>
      <c r="AH37">
        <v>3.2</v>
      </c>
      <c r="AI37">
        <v>3.7</v>
      </c>
      <c r="AJ37">
        <v>3.2</v>
      </c>
      <c r="AK37">
        <v>3.3250000000000002</v>
      </c>
      <c r="AL37">
        <v>68</v>
      </c>
      <c r="AM37">
        <v>64</v>
      </c>
      <c r="AN37">
        <v>68</v>
      </c>
      <c r="AO37">
        <v>60</v>
      </c>
      <c r="AP37">
        <v>65</v>
      </c>
      <c r="AQ37">
        <v>4</v>
      </c>
      <c r="AR37">
        <v>76</v>
      </c>
      <c r="AS37">
        <v>70</v>
      </c>
      <c r="AT37">
        <v>2.6</v>
      </c>
      <c r="AU37">
        <v>15.1</v>
      </c>
      <c r="AV37">
        <v>15.2</v>
      </c>
      <c r="AW37">
        <v>8.6</v>
      </c>
      <c r="AX37">
        <v>8.0399999999999999E-2</v>
      </c>
      <c r="AY37">
        <v>7</v>
      </c>
      <c r="AZ37">
        <v>5</v>
      </c>
      <c r="BA37">
        <v>83</v>
      </c>
      <c r="BB37">
        <v>85</v>
      </c>
      <c r="BC37">
        <v>82</v>
      </c>
      <c r="BD37" s="2">
        <v>0.33680555555555558</v>
      </c>
      <c r="BE37">
        <v>98</v>
      </c>
      <c r="BF37" t="s">
        <v>237</v>
      </c>
      <c r="BG37" t="s">
        <v>267</v>
      </c>
      <c r="BH37">
        <v>13</v>
      </c>
      <c r="BI37" t="s">
        <v>43</v>
      </c>
      <c r="BJ37" t="s">
        <v>238</v>
      </c>
      <c r="BK37">
        <v>243.8</v>
      </c>
      <c r="BL37">
        <v>92</v>
      </c>
      <c r="BM37">
        <v>2</v>
      </c>
      <c r="BN37" t="s">
        <v>40</v>
      </c>
      <c r="BO37">
        <v>1674.45</v>
      </c>
      <c r="BP37">
        <v>0.13650000000000001</v>
      </c>
      <c r="BS37">
        <v>4.1200000000000001E-2</v>
      </c>
      <c r="BT37">
        <v>81</v>
      </c>
      <c r="BU37">
        <v>1E-3</v>
      </c>
      <c r="BV37">
        <v>1.2999999999999999E-3</v>
      </c>
      <c r="BW37">
        <v>1E-3</v>
      </c>
      <c r="BX37">
        <v>1.1299999999999999E-2</v>
      </c>
      <c r="BY37">
        <v>0.46479999999999999</v>
      </c>
      <c r="CA37">
        <v>0.2616</v>
      </c>
      <c r="CB37">
        <v>5.0999999999999996</v>
      </c>
      <c r="CC37">
        <v>1.83</v>
      </c>
      <c r="CM37">
        <v>3.0999999999999999E-3</v>
      </c>
      <c r="CQ37">
        <v>0.73599999999999999</v>
      </c>
      <c r="CR37">
        <v>6.08</v>
      </c>
      <c r="CS37">
        <v>1.0035000000000001</v>
      </c>
      <c r="CT37">
        <v>1.45</v>
      </c>
      <c r="CU37">
        <v>1.0028999999999999</v>
      </c>
      <c r="CV37">
        <v>0.48</v>
      </c>
      <c r="CW37">
        <v>1.0024999999999999</v>
      </c>
      <c r="CX37">
        <v>0.23</v>
      </c>
      <c r="CY37" t="s">
        <v>228</v>
      </c>
    </row>
    <row r="38" spans="1:105" x14ac:dyDescent="0.25">
      <c r="A38">
        <v>22</v>
      </c>
      <c r="B38" s="1">
        <v>44341</v>
      </c>
      <c r="C38" s="2">
        <v>0.42708333333333331</v>
      </c>
      <c r="D38">
        <v>2726</v>
      </c>
      <c r="E38" t="s">
        <v>219</v>
      </c>
      <c r="F38" t="s">
        <v>257</v>
      </c>
      <c r="G38">
        <v>2</v>
      </c>
      <c r="H38">
        <v>13</v>
      </c>
      <c r="I38">
        <v>1</v>
      </c>
      <c r="J38" t="s">
        <v>39</v>
      </c>
      <c r="K38">
        <v>22106</v>
      </c>
      <c r="L38" t="s">
        <v>241</v>
      </c>
      <c r="M38" t="s">
        <v>221</v>
      </c>
      <c r="N38" t="s">
        <v>222</v>
      </c>
      <c r="O38" t="s">
        <v>236</v>
      </c>
      <c r="Q38">
        <v>825</v>
      </c>
      <c r="R38">
        <v>150</v>
      </c>
      <c r="U38">
        <v>23.7</v>
      </c>
      <c r="V38">
        <v>7.9</v>
      </c>
      <c r="W38">
        <v>20</v>
      </c>
      <c r="Y38">
        <v>10</v>
      </c>
      <c r="Z38">
        <v>2727</v>
      </c>
      <c r="AA38">
        <v>1036.5999999999999</v>
      </c>
      <c r="AB38">
        <v>0.22923485183547102</v>
      </c>
      <c r="AC38" t="s">
        <v>40</v>
      </c>
      <c r="AD38">
        <v>2</v>
      </c>
      <c r="AE38">
        <v>41</v>
      </c>
      <c r="AF38" t="s">
        <v>224</v>
      </c>
      <c r="AG38">
        <v>3</v>
      </c>
      <c r="AH38">
        <v>3</v>
      </c>
      <c r="AI38">
        <v>3.5</v>
      </c>
      <c r="AJ38">
        <v>3</v>
      </c>
      <c r="AK38">
        <v>3.125</v>
      </c>
      <c r="AL38">
        <v>52</v>
      </c>
      <c r="AM38">
        <v>60</v>
      </c>
      <c r="AN38">
        <v>60</v>
      </c>
      <c r="AO38">
        <v>62</v>
      </c>
      <c r="AP38">
        <v>58.5</v>
      </c>
      <c r="AQ38">
        <v>4</v>
      </c>
      <c r="AR38">
        <v>76</v>
      </c>
      <c r="AS38">
        <v>50</v>
      </c>
      <c r="AT38">
        <v>2.6</v>
      </c>
      <c r="AU38">
        <v>16</v>
      </c>
      <c r="AV38">
        <v>15.1</v>
      </c>
      <c r="AW38">
        <v>9.3000000000000007</v>
      </c>
      <c r="AX38">
        <v>9.8699999999999996E-2</v>
      </c>
      <c r="AY38">
        <v>7</v>
      </c>
      <c r="AZ38">
        <v>5</v>
      </c>
      <c r="BA38">
        <v>83</v>
      </c>
      <c r="BB38">
        <v>85</v>
      </c>
      <c r="BC38">
        <v>82</v>
      </c>
      <c r="BD38" s="2">
        <v>0.34236111111111112</v>
      </c>
      <c r="BE38">
        <v>89</v>
      </c>
      <c r="BF38" t="s">
        <v>237</v>
      </c>
      <c r="BG38" t="s">
        <v>268</v>
      </c>
      <c r="BH38">
        <v>13</v>
      </c>
      <c r="BI38" t="s">
        <v>43</v>
      </c>
      <c r="BJ38" t="s">
        <v>238</v>
      </c>
      <c r="BK38">
        <v>244</v>
      </c>
      <c r="BL38">
        <v>92.2</v>
      </c>
      <c r="BM38">
        <v>1</v>
      </c>
      <c r="BN38" t="s">
        <v>40</v>
      </c>
      <c r="BS38">
        <v>3.9899999999999998E-2</v>
      </c>
      <c r="BT38">
        <v>79</v>
      </c>
      <c r="BY38">
        <v>0.4511</v>
      </c>
      <c r="CA38">
        <v>0.25890000000000002</v>
      </c>
      <c r="CB38">
        <v>5.14</v>
      </c>
      <c r="CC38">
        <v>1.84</v>
      </c>
      <c r="CM38">
        <v>3.8E-3</v>
      </c>
    </row>
    <row r="39" spans="1:105" x14ac:dyDescent="0.25">
      <c r="A39">
        <v>22</v>
      </c>
      <c r="B39" s="1">
        <v>44341</v>
      </c>
      <c r="C39" s="2">
        <v>0.2951388888888889</v>
      </c>
      <c r="D39">
        <v>2726</v>
      </c>
      <c r="E39" t="s">
        <v>219</v>
      </c>
      <c r="F39" t="s">
        <v>257</v>
      </c>
      <c r="G39">
        <v>2</v>
      </c>
      <c r="H39">
        <v>4</v>
      </c>
      <c r="I39">
        <v>1</v>
      </c>
      <c r="J39" t="s">
        <v>39</v>
      </c>
      <c r="K39">
        <v>22106</v>
      </c>
      <c r="L39" t="s">
        <v>269</v>
      </c>
      <c r="M39" t="s">
        <v>221</v>
      </c>
      <c r="N39" t="s">
        <v>222</v>
      </c>
      <c r="O39" t="s">
        <v>236</v>
      </c>
      <c r="Q39">
        <v>825</v>
      </c>
      <c r="R39">
        <v>150</v>
      </c>
      <c r="U39">
        <v>23.7</v>
      </c>
      <c r="V39">
        <v>7.9</v>
      </c>
      <c r="W39">
        <v>20</v>
      </c>
      <c r="Y39">
        <v>10</v>
      </c>
      <c r="Z39">
        <v>2727</v>
      </c>
      <c r="AA39">
        <v>1036.5999999999999</v>
      </c>
      <c r="AB39">
        <v>0.22923485183547102</v>
      </c>
      <c r="AC39">
        <v>0.25380000000000003</v>
      </c>
      <c r="AD39">
        <v>2</v>
      </c>
      <c r="AE39">
        <v>41</v>
      </c>
      <c r="AF39" t="s">
        <v>224</v>
      </c>
      <c r="AG39">
        <v>2.9</v>
      </c>
      <c r="AH39">
        <v>2.9</v>
      </c>
      <c r="AI39">
        <v>3.5</v>
      </c>
      <c r="AJ39">
        <v>2.9</v>
      </c>
      <c r="AK39">
        <v>3.0500000000000003</v>
      </c>
      <c r="AL39">
        <v>70</v>
      </c>
      <c r="AM39">
        <v>70</v>
      </c>
      <c r="AN39">
        <v>56</v>
      </c>
      <c r="AO39">
        <v>78</v>
      </c>
      <c r="AP39">
        <v>68.5</v>
      </c>
      <c r="AQ39">
        <v>4</v>
      </c>
      <c r="AR39">
        <v>70</v>
      </c>
      <c r="AS39">
        <v>71</v>
      </c>
      <c r="AT39">
        <v>2.8</v>
      </c>
      <c r="AU39">
        <v>16.399999999999999</v>
      </c>
      <c r="AV39">
        <v>16.2</v>
      </c>
      <c r="AW39">
        <v>9.1</v>
      </c>
      <c r="AX39">
        <v>0.1615</v>
      </c>
      <c r="AY39">
        <v>7</v>
      </c>
      <c r="AZ39">
        <v>5</v>
      </c>
      <c r="BA39">
        <v>83</v>
      </c>
      <c r="BB39">
        <v>85</v>
      </c>
      <c r="BC39">
        <v>82</v>
      </c>
      <c r="BD39" s="2">
        <v>0.32847222222222222</v>
      </c>
      <c r="BE39">
        <v>77</v>
      </c>
      <c r="BF39" t="s">
        <v>237</v>
      </c>
      <c r="BG39" t="s">
        <v>270</v>
      </c>
      <c r="BH39">
        <v>13</v>
      </c>
      <c r="BI39" t="s">
        <v>43</v>
      </c>
      <c r="BJ39" t="s">
        <v>238</v>
      </c>
      <c r="BK39">
        <v>182.8</v>
      </c>
      <c r="BL39">
        <v>92.6</v>
      </c>
      <c r="BM39">
        <v>0</v>
      </c>
      <c r="BN39" t="s">
        <v>40</v>
      </c>
      <c r="BS39">
        <v>3.7999999999999999E-2</v>
      </c>
      <c r="BT39">
        <v>82</v>
      </c>
      <c r="BU39">
        <v>2E-3</v>
      </c>
      <c r="BV39">
        <v>1.1999999999999999E-3</v>
      </c>
      <c r="BW39">
        <v>1.1999999999999999E-3</v>
      </c>
      <c r="BX39">
        <v>9.7999999999999997E-3</v>
      </c>
      <c r="BY39">
        <v>0.45879999999999999</v>
      </c>
      <c r="CA39">
        <v>0.26269999999999999</v>
      </c>
      <c r="CB39">
        <v>5.07</v>
      </c>
      <c r="CC39">
        <v>1.83</v>
      </c>
      <c r="CD39">
        <v>1.0489999999999999</v>
      </c>
      <c r="CE39">
        <v>7.85E-2</v>
      </c>
      <c r="CF39">
        <v>2.29E-2</v>
      </c>
      <c r="CG39">
        <v>2.1399999999999999E-2</v>
      </c>
      <c r="CH39">
        <v>2.2499999999999999E-2</v>
      </c>
      <c r="CI39">
        <v>2.12E-2</v>
      </c>
      <c r="CJ39">
        <v>2.1999999999999999E-2</v>
      </c>
      <c r="CK39">
        <v>1.7600000000000001E-2</v>
      </c>
      <c r="CL39">
        <v>3.7699999999999997E-2</v>
      </c>
      <c r="CM39">
        <v>1.5E-3</v>
      </c>
      <c r="CN39">
        <v>0.25380000000000003</v>
      </c>
      <c r="CO39">
        <v>0.24859999999999999</v>
      </c>
      <c r="CP39">
        <v>0.28999999999999998</v>
      </c>
      <c r="CZ39">
        <v>7.37</v>
      </c>
      <c r="DA39">
        <v>10.73</v>
      </c>
    </row>
    <row r="40" spans="1:105" x14ac:dyDescent="0.25">
      <c r="A40">
        <v>22</v>
      </c>
      <c r="B40" s="1">
        <v>44341</v>
      </c>
      <c r="C40" s="2">
        <v>0.1875</v>
      </c>
      <c r="D40">
        <v>2726</v>
      </c>
      <c r="E40" t="s">
        <v>219</v>
      </c>
      <c r="F40" t="s">
        <v>220</v>
      </c>
      <c r="G40">
        <v>2</v>
      </c>
      <c r="H40">
        <v>103</v>
      </c>
      <c r="I40">
        <v>4</v>
      </c>
      <c r="J40" t="s">
        <v>39</v>
      </c>
      <c r="K40">
        <v>22106</v>
      </c>
      <c r="L40" t="s">
        <v>269</v>
      </c>
      <c r="M40" t="s">
        <v>221</v>
      </c>
      <c r="N40" t="s">
        <v>222</v>
      </c>
      <c r="O40" t="s">
        <v>236</v>
      </c>
      <c r="Q40">
        <v>825</v>
      </c>
      <c r="R40">
        <v>150</v>
      </c>
      <c r="U40">
        <v>23.7</v>
      </c>
      <c r="V40">
        <v>7.9</v>
      </c>
      <c r="W40">
        <v>20</v>
      </c>
      <c r="Y40">
        <v>10</v>
      </c>
      <c r="Z40">
        <v>2727</v>
      </c>
      <c r="AA40">
        <v>1036.5999999999999</v>
      </c>
      <c r="AB40">
        <v>0.22923485183547102</v>
      </c>
      <c r="AC40" t="s">
        <v>40</v>
      </c>
      <c r="AD40">
        <v>2</v>
      </c>
      <c r="AE40">
        <v>41</v>
      </c>
      <c r="AF40" t="s">
        <v>224</v>
      </c>
      <c r="AG40">
        <v>3.2</v>
      </c>
      <c r="AH40">
        <v>3.2</v>
      </c>
      <c r="AJ40">
        <v>3.2</v>
      </c>
      <c r="AK40">
        <v>3.2000000000000006</v>
      </c>
      <c r="AL40">
        <v>56</v>
      </c>
      <c r="AM40">
        <v>60</v>
      </c>
      <c r="AO40">
        <v>66</v>
      </c>
      <c r="AP40">
        <v>60.666666666666664</v>
      </c>
      <c r="AQ40">
        <v>4</v>
      </c>
      <c r="AR40">
        <v>74</v>
      </c>
      <c r="AS40">
        <v>69</v>
      </c>
      <c r="AT40">
        <v>2.6</v>
      </c>
      <c r="AU40">
        <v>15.6</v>
      </c>
      <c r="AV40">
        <v>16.100000000000001</v>
      </c>
      <c r="AW40">
        <v>9.1999999999999993</v>
      </c>
      <c r="AX40">
        <v>9.0899999999999995E-2</v>
      </c>
      <c r="AY40">
        <v>7</v>
      </c>
      <c r="AZ40">
        <v>5</v>
      </c>
      <c r="BA40">
        <v>83</v>
      </c>
      <c r="BB40">
        <v>85</v>
      </c>
      <c r="BC40">
        <v>82</v>
      </c>
      <c r="BD40" s="2">
        <v>0.30208333333333331</v>
      </c>
      <c r="BE40">
        <v>66</v>
      </c>
      <c r="BF40" t="s">
        <v>262</v>
      </c>
      <c r="BH40">
        <v>13</v>
      </c>
      <c r="BI40" t="s">
        <v>43</v>
      </c>
      <c r="BK40">
        <v>304.5</v>
      </c>
      <c r="BL40">
        <v>92.2</v>
      </c>
      <c r="BM40">
        <v>1</v>
      </c>
      <c r="BN40" t="s">
        <v>40</v>
      </c>
      <c r="BS40">
        <v>3.9600000000000003E-2</v>
      </c>
      <c r="BT40">
        <v>84</v>
      </c>
      <c r="BY40">
        <v>0.48830000000000001</v>
      </c>
      <c r="CA40">
        <v>0.26590000000000003</v>
      </c>
      <c r="CB40">
        <v>4.82</v>
      </c>
      <c r="CC40">
        <v>1.85</v>
      </c>
      <c r="CM40">
        <v>1.2999999999999999E-3</v>
      </c>
    </row>
    <row r="41" spans="1:105" x14ac:dyDescent="0.25">
      <c r="A41">
        <v>22</v>
      </c>
      <c r="B41" s="1">
        <v>44341</v>
      </c>
      <c r="C41" s="2">
        <v>0.10416666666666667</v>
      </c>
      <c r="D41">
        <v>2726</v>
      </c>
      <c r="E41" t="s">
        <v>219</v>
      </c>
      <c r="F41" t="s">
        <v>220</v>
      </c>
      <c r="G41">
        <v>2</v>
      </c>
      <c r="H41">
        <v>92</v>
      </c>
      <c r="I41">
        <v>4</v>
      </c>
      <c r="J41" t="s">
        <v>39</v>
      </c>
      <c r="K41">
        <v>22106</v>
      </c>
      <c r="L41" t="s">
        <v>269</v>
      </c>
      <c r="M41" t="s">
        <v>221</v>
      </c>
      <c r="N41" t="s">
        <v>222</v>
      </c>
      <c r="O41" t="s">
        <v>236</v>
      </c>
      <c r="Q41">
        <v>825</v>
      </c>
      <c r="R41">
        <v>150</v>
      </c>
      <c r="U41">
        <v>23.7</v>
      </c>
      <c r="V41">
        <v>7.9</v>
      </c>
      <c r="W41">
        <v>20</v>
      </c>
      <c r="Y41">
        <v>10</v>
      </c>
      <c r="Z41">
        <v>2727</v>
      </c>
      <c r="AA41">
        <v>1036.5999999999999</v>
      </c>
      <c r="AB41">
        <v>0.22923485183547102</v>
      </c>
      <c r="AC41" t="s">
        <v>40</v>
      </c>
      <c r="AD41">
        <v>2</v>
      </c>
      <c r="AE41">
        <v>41</v>
      </c>
      <c r="AF41" t="s">
        <v>224</v>
      </c>
      <c r="AG41">
        <v>3.3</v>
      </c>
      <c r="AH41">
        <v>3.4</v>
      </c>
      <c r="AI41">
        <v>3.4</v>
      </c>
      <c r="AJ41">
        <v>3.3</v>
      </c>
      <c r="AK41">
        <v>3.3499999999999996</v>
      </c>
      <c r="AL41">
        <v>84</v>
      </c>
      <c r="AM41">
        <v>86</v>
      </c>
      <c r="AN41">
        <v>84</v>
      </c>
      <c r="AO41">
        <v>100</v>
      </c>
      <c r="AP41">
        <v>88.5</v>
      </c>
      <c r="AQ41">
        <v>4</v>
      </c>
      <c r="AR41">
        <v>74</v>
      </c>
      <c r="AS41">
        <v>69</v>
      </c>
      <c r="AT41">
        <v>2.4</v>
      </c>
      <c r="AU41">
        <v>16.5</v>
      </c>
      <c r="AV41">
        <v>16</v>
      </c>
      <c r="AW41">
        <v>9.6999999999999993</v>
      </c>
      <c r="AX41">
        <v>9.9599999999999994E-2</v>
      </c>
      <c r="AY41">
        <v>7</v>
      </c>
      <c r="AZ41">
        <v>5</v>
      </c>
      <c r="BA41">
        <v>83</v>
      </c>
      <c r="BB41">
        <v>85</v>
      </c>
      <c r="BC41">
        <v>82</v>
      </c>
      <c r="BD41" s="2">
        <v>0.28194444444444444</v>
      </c>
      <c r="BE41">
        <v>59</v>
      </c>
      <c r="BF41" t="s">
        <v>262</v>
      </c>
      <c r="BH41">
        <v>13</v>
      </c>
      <c r="BI41" t="s">
        <v>43</v>
      </c>
      <c r="BK41">
        <v>304.60000000000002</v>
      </c>
      <c r="BL41">
        <v>92.5</v>
      </c>
      <c r="BN41" t="s">
        <v>40</v>
      </c>
      <c r="BS41">
        <v>3.9300000000000002E-2</v>
      </c>
      <c r="BT41">
        <v>84</v>
      </c>
      <c r="BY41">
        <v>0.50600000000000001</v>
      </c>
      <c r="CA41">
        <v>0.26619999999999999</v>
      </c>
      <c r="CB41">
        <v>4.9400000000000004</v>
      </c>
      <c r="CC41">
        <v>1.85</v>
      </c>
      <c r="CM41">
        <v>4.5999999999999999E-3</v>
      </c>
    </row>
    <row r="42" spans="1:105" x14ac:dyDescent="0.25">
      <c r="A42">
        <v>22</v>
      </c>
      <c r="B42" s="1">
        <v>44341</v>
      </c>
      <c r="C42" s="2">
        <v>5.0694444444444452E-2</v>
      </c>
      <c r="D42">
        <v>2726</v>
      </c>
      <c r="E42" t="s">
        <v>219</v>
      </c>
      <c r="F42" t="s">
        <v>220</v>
      </c>
      <c r="G42">
        <v>2</v>
      </c>
      <c r="H42">
        <v>85</v>
      </c>
      <c r="I42">
        <v>4</v>
      </c>
      <c r="J42" t="s">
        <v>39</v>
      </c>
      <c r="K42">
        <v>22106</v>
      </c>
      <c r="L42" t="s">
        <v>269</v>
      </c>
      <c r="M42" t="s">
        <v>221</v>
      </c>
      <c r="N42" t="s">
        <v>222</v>
      </c>
      <c r="O42" t="s">
        <v>236</v>
      </c>
      <c r="Q42">
        <v>825</v>
      </c>
      <c r="R42">
        <v>150</v>
      </c>
      <c r="U42">
        <v>23.7</v>
      </c>
      <c r="V42">
        <v>7.9</v>
      </c>
      <c r="W42">
        <v>20</v>
      </c>
      <c r="Y42">
        <v>10</v>
      </c>
      <c r="Z42">
        <v>2727</v>
      </c>
      <c r="AA42">
        <v>1036.5999999999999</v>
      </c>
      <c r="AB42">
        <v>0.22923485183547102</v>
      </c>
      <c r="AC42" t="s">
        <v>40</v>
      </c>
      <c r="AD42">
        <v>2</v>
      </c>
      <c r="AE42">
        <v>41</v>
      </c>
      <c r="AF42" t="s">
        <v>224</v>
      </c>
      <c r="AG42">
        <v>3</v>
      </c>
      <c r="AH42">
        <v>3</v>
      </c>
      <c r="AJ42">
        <v>3</v>
      </c>
      <c r="AK42">
        <v>3</v>
      </c>
      <c r="AL42">
        <v>60</v>
      </c>
      <c r="AM42">
        <v>64</v>
      </c>
      <c r="AO42">
        <v>54</v>
      </c>
      <c r="AP42">
        <v>59.333333333333336</v>
      </c>
      <c r="AQ42">
        <v>5</v>
      </c>
      <c r="AR42">
        <v>75</v>
      </c>
      <c r="AS42">
        <v>69</v>
      </c>
      <c r="AT42">
        <v>3.2</v>
      </c>
      <c r="AU42">
        <v>16.5</v>
      </c>
      <c r="AV42">
        <v>15.5</v>
      </c>
      <c r="AW42">
        <v>10.6</v>
      </c>
      <c r="AX42">
        <v>9.9500000000000005E-2</v>
      </c>
      <c r="AY42">
        <v>5</v>
      </c>
      <c r="AZ42">
        <v>5</v>
      </c>
      <c r="BA42">
        <v>83</v>
      </c>
      <c r="BB42">
        <v>85</v>
      </c>
      <c r="BC42">
        <v>82</v>
      </c>
      <c r="BD42" s="2">
        <v>0.25625000000000003</v>
      </c>
      <c r="BE42">
        <v>53</v>
      </c>
      <c r="BF42" t="s">
        <v>262</v>
      </c>
      <c r="BH42">
        <v>13</v>
      </c>
      <c r="BI42" t="s">
        <v>43</v>
      </c>
      <c r="BK42">
        <v>304.5</v>
      </c>
      <c r="BL42">
        <v>92.2</v>
      </c>
      <c r="BM42">
        <v>1</v>
      </c>
      <c r="BN42" t="s">
        <v>40</v>
      </c>
      <c r="BS42">
        <v>3.9800000000000002E-2</v>
      </c>
      <c r="BT42">
        <v>84</v>
      </c>
      <c r="BY42">
        <v>0.54990000000000006</v>
      </c>
      <c r="CA42">
        <v>0.2722</v>
      </c>
      <c r="CB42">
        <v>5.0199999999999996</v>
      </c>
      <c r="CC42">
        <v>1.84</v>
      </c>
      <c r="CM42">
        <v>8.0000000000000002E-3</v>
      </c>
    </row>
    <row r="43" spans="1:105" x14ac:dyDescent="0.25">
      <c r="A43">
        <v>22</v>
      </c>
      <c r="B43" s="1">
        <v>44340</v>
      </c>
      <c r="C43" s="2">
        <v>0.90972222222222221</v>
      </c>
      <c r="D43">
        <v>2726</v>
      </c>
      <c r="E43" t="s">
        <v>219</v>
      </c>
      <c r="F43" t="s">
        <v>220</v>
      </c>
      <c r="G43">
        <v>2</v>
      </c>
      <c r="H43">
        <v>70</v>
      </c>
      <c r="I43">
        <v>3</v>
      </c>
      <c r="J43" t="s">
        <v>39</v>
      </c>
      <c r="K43">
        <v>22106</v>
      </c>
      <c r="L43" t="s">
        <v>269</v>
      </c>
      <c r="M43" t="s">
        <v>221</v>
      </c>
      <c r="N43" t="s">
        <v>222</v>
      </c>
      <c r="O43" t="s">
        <v>236</v>
      </c>
      <c r="Q43">
        <v>825</v>
      </c>
      <c r="R43">
        <v>150</v>
      </c>
      <c r="U43">
        <v>23.7</v>
      </c>
      <c r="V43">
        <v>7.9</v>
      </c>
      <c r="W43">
        <v>20</v>
      </c>
      <c r="Y43">
        <v>10</v>
      </c>
      <c r="Z43">
        <v>2727</v>
      </c>
      <c r="AA43">
        <v>1036.5999999999999</v>
      </c>
      <c r="AB43">
        <v>0.22923485183547102</v>
      </c>
      <c r="AC43">
        <v>0.25390000000000001</v>
      </c>
      <c r="AD43">
        <v>2</v>
      </c>
      <c r="AE43">
        <v>41</v>
      </c>
      <c r="AF43" t="s">
        <v>224</v>
      </c>
      <c r="AG43">
        <v>3.6</v>
      </c>
      <c r="AH43">
        <v>3.6</v>
      </c>
      <c r="AI43">
        <v>3.6</v>
      </c>
      <c r="AJ43">
        <v>3.6</v>
      </c>
      <c r="AK43">
        <v>3.6</v>
      </c>
      <c r="AL43">
        <v>56</v>
      </c>
      <c r="AM43">
        <v>74</v>
      </c>
      <c r="AN43">
        <v>70</v>
      </c>
      <c r="AO43">
        <v>62</v>
      </c>
      <c r="AP43">
        <v>65.5</v>
      </c>
      <c r="AQ43">
        <v>4</v>
      </c>
      <c r="AR43">
        <v>79</v>
      </c>
      <c r="AS43">
        <v>68</v>
      </c>
      <c r="AT43">
        <v>2.5</v>
      </c>
      <c r="AU43">
        <v>16.100000000000001</v>
      </c>
      <c r="AV43">
        <v>16.2</v>
      </c>
      <c r="AW43">
        <v>11.3</v>
      </c>
      <c r="AX43">
        <v>7.8899999999999998E-2</v>
      </c>
      <c r="AY43">
        <v>5</v>
      </c>
      <c r="AZ43">
        <v>5</v>
      </c>
      <c r="BA43">
        <v>83</v>
      </c>
      <c r="BB43">
        <v>85</v>
      </c>
      <c r="BC43">
        <v>82</v>
      </c>
      <c r="BD43" s="2">
        <v>0.34722222222222227</v>
      </c>
      <c r="BE43">
        <v>35</v>
      </c>
      <c r="BF43" t="s">
        <v>262</v>
      </c>
      <c r="BG43" t="s">
        <v>271</v>
      </c>
      <c r="BH43">
        <v>12</v>
      </c>
      <c r="BI43" t="s">
        <v>43</v>
      </c>
      <c r="BK43">
        <v>304.7</v>
      </c>
      <c r="BL43">
        <v>92.2</v>
      </c>
      <c r="BM43">
        <v>1</v>
      </c>
      <c r="BN43" t="s">
        <v>40</v>
      </c>
      <c r="BO43">
        <v>1674.52</v>
      </c>
      <c r="BS43">
        <v>3.9199999999999999E-2</v>
      </c>
      <c r="BT43">
        <v>84</v>
      </c>
      <c r="BU43">
        <v>2.0999999999999999E-3</v>
      </c>
      <c r="BV43">
        <v>1E-3</v>
      </c>
      <c r="BW43">
        <v>2.0999999999999999E-3</v>
      </c>
      <c r="BX43">
        <v>1.01E-2</v>
      </c>
      <c r="BY43">
        <v>0.52380000000000004</v>
      </c>
      <c r="CA43">
        <v>0.27400000000000002</v>
      </c>
      <c r="CB43">
        <v>5.03</v>
      </c>
      <c r="CC43">
        <v>1.84</v>
      </c>
      <c r="CD43">
        <v>1.0529999999999999</v>
      </c>
      <c r="CE43">
        <v>8.6300000000000002E-2</v>
      </c>
      <c r="CF43">
        <v>2.4400000000000002E-2</v>
      </c>
      <c r="CG43">
        <v>2.3E-2</v>
      </c>
      <c r="CH43">
        <v>2.6100000000000002E-2</v>
      </c>
      <c r="CI43">
        <v>2.4500000000000001E-2</v>
      </c>
      <c r="CJ43">
        <v>2.4500000000000001E-2</v>
      </c>
      <c r="CK43">
        <v>2.1700000000000001E-2</v>
      </c>
      <c r="CL43">
        <v>4.02E-2</v>
      </c>
      <c r="CM43">
        <v>3.7000000000000002E-3</v>
      </c>
      <c r="CN43">
        <v>0.25390000000000001</v>
      </c>
      <c r="CO43">
        <v>0.26529999999999998</v>
      </c>
      <c r="CP43">
        <v>0.27010000000000001</v>
      </c>
    </row>
    <row r="44" spans="1:105" x14ac:dyDescent="0.25">
      <c r="A44">
        <v>22</v>
      </c>
      <c r="B44" s="1">
        <v>44340</v>
      </c>
      <c r="C44" s="2">
        <v>0.80208333333333337</v>
      </c>
      <c r="D44">
        <v>2726</v>
      </c>
      <c r="E44" t="s">
        <v>219</v>
      </c>
      <c r="F44" t="s">
        <v>220</v>
      </c>
      <c r="G44">
        <v>2</v>
      </c>
      <c r="H44">
        <v>57</v>
      </c>
      <c r="I44">
        <v>3</v>
      </c>
      <c r="J44" t="s">
        <v>39</v>
      </c>
      <c r="K44">
        <v>22106</v>
      </c>
      <c r="L44" t="s">
        <v>269</v>
      </c>
      <c r="M44" t="s">
        <v>221</v>
      </c>
      <c r="N44" t="s">
        <v>222</v>
      </c>
      <c r="O44" t="s">
        <v>236</v>
      </c>
      <c r="Q44">
        <v>825</v>
      </c>
      <c r="R44">
        <v>150</v>
      </c>
      <c r="U44">
        <v>23.7</v>
      </c>
      <c r="V44">
        <v>7.9</v>
      </c>
      <c r="W44">
        <v>20</v>
      </c>
      <c r="Y44">
        <v>10</v>
      </c>
      <c r="Z44">
        <v>2727</v>
      </c>
      <c r="AA44">
        <v>1036.5999999999999</v>
      </c>
      <c r="AB44">
        <v>0.22923485183547102</v>
      </c>
      <c r="AC44" t="s">
        <v>40</v>
      </c>
      <c r="AD44">
        <v>2</v>
      </c>
      <c r="AE44">
        <v>41</v>
      </c>
      <c r="AF44" t="s">
        <v>224</v>
      </c>
      <c r="AG44">
        <v>3.5</v>
      </c>
      <c r="AH44">
        <v>3.6</v>
      </c>
      <c r="AI44">
        <v>3.6</v>
      </c>
      <c r="AJ44">
        <v>3.6</v>
      </c>
      <c r="AK44">
        <v>3.6</v>
      </c>
      <c r="AL44">
        <v>66</v>
      </c>
      <c r="AM44">
        <v>68</v>
      </c>
      <c r="AN44">
        <v>76</v>
      </c>
      <c r="AO44">
        <v>78</v>
      </c>
      <c r="AP44">
        <v>72</v>
      </c>
      <c r="AQ44">
        <v>4</v>
      </c>
      <c r="AR44">
        <v>77</v>
      </c>
      <c r="AS44">
        <v>69</v>
      </c>
      <c r="AT44">
        <v>2.6</v>
      </c>
      <c r="AU44">
        <v>16.899999999999999</v>
      </c>
      <c r="AV44">
        <v>15.2</v>
      </c>
      <c r="AW44">
        <v>11</v>
      </c>
      <c r="AX44">
        <v>9.0899999999999995E-2</v>
      </c>
      <c r="AY44">
        <v>7</v>
      </c>
      <c r="AZ44">
        <v>5</v>
      </c>
      <c r="BA44">
        <v>83</v>
      </c>
      <c r="BB44">
        <v>85</v>
      </c>
      <c r="BC44">
        <v>82</v>
      </c>
      <c r="BD44" s="2">
        <v>0.35972222222222222</v>
      </c>
      <c r="BE44">
        <v>21</v>
      </c>
      <c r="BF44" t="s">
        <v>262</v>
      </c>
      <c r="BG44" t="s">
        <v>272</v>
      </c>
      <c r="BH44">
        <v>12</v>
      </c>
      <c r="BI44" t="s">
        <v>43</v>
      </c>
      <c r="BK44">
        <v>304.8</v>
      </c>
      <c r="BL44">
        <v>92.5</v>
      </c>
      <c r="BM44">
        <v>1</v>
      </c>
      <c r="BN44" t="s">
        <v>40</v>
      </c>
      <c r="BS44">
        <v>3.8800000000000001E-2</v>
      </c>
      <c r="BT44">
        <v>84</v>
      </c>
      <c r="BY44">
        <v>0.53390000000000004</v>
      </c>
      <c r="CA44">
        <v>0.26650000000000001</v>
      </c>
      <c r="CB44">
        <v>5.19</v>
      </c>
      <c r="CC44">
        <v>1.86</v>
      </c>
      <c r="CM44">
        <v>8.9999999999999998E-4</v>
      </c>
    </row>
    <row r="45" spans="1:105" x14ac:dyDescent="0.25">
      <c r="A45">
        <v>22</v>
      </c>
      <c r="B45" s="1">
        <v>44340</v>
      </c>
      <c r="C45" s="2">
        <v>0.68888888888888899</v>
      </c>
      <c r="D45">
        <v>2726</v>
      </c>
      <c r="E45" t="s">
        <v>219</v>
      </c>
      <c r="F45" t="s">
        <v>220</v>
      </c>
      <c r="G45">
        <v>2</v>
      </c>
      <c r="H45">
        <v>44</v>
      </c>
      <c r="I45">
        <v>2</v>
      </c>
      <c r="J45" t="s">
        <v>39</v>
      </c>
      <c r="K45">
        <v>22042</v>
      </c>
      <c r="L45" t="s">
        <v>269</v>
      </c>
      <c r="M45" t="s">
        <v>221</v>
      </c>
      <c r="N45" t="s">
        <v>222</v>
      </c>
      <c r="O45" t="s">
        <v>223</v>
      </c>
      <c r="Q45">
        <v>825</v>
      </c>
      <c r="R45">
        <v>150</v>
      </c>
      <c r="U45">
        <v>23.7</v>
      </c>
      <c r="V45">
        <v>7.9</v>
      </c>
      <c r="W45">
        <v>20</v>
      </c>
      <c r="Y45">
        <v>10</v>
      </c>
      <c r="Z45">
        <v>2727</v>
      </c>
      <c r="AA45">
        <v>1036.5999999999999</v>
      </c>
      <c r="AB45">
        <v>0.22923485183547102</v>
      </c>
      <c r="AC45" t="s">
        <v>40</v>
      </c>
      <c r="AD45">
        <v>2</v>
      </c>
      <c r="AE45">
        <v>41</v>
      </c>
      <c r="AF45" t="s">
        <v>224</v>
      </c>
      <c r="AG45">
        <v>2.5</v>
      </c>
      <c r="AH45">
        <v>2.5</v>
      </c>
      <c r="AJ45">
        <v>2.5</v>
      </c>
      <c r="AK45">
        <v>2.5</v>
      </c>
      <c r="AL45">
        <v>70</v>
      </c>
      <c r="AM45">
        <v>68</v>
      </c>
      <c r="AO45">
        <v>70</v>
      </c>
      <c r="AP45">
        <v>69.333333333333329</v>
      </c>
      <c r="AQ45">
        <v>5</v>
      </c>
      <c r="AR45">
        <v>68</v>
      </c>
      <c r="AS45">
        <v>70</v>
      </c>
      <c r="AT45">
        <v>3.1</v>
      </c>
      <c r="AU45">
        <v>16.3</v>
      </c>
      <c r="AV45">
        <v>16.600000000000001</v>
      </c>
      <c r="AW45">
        <v>10.7</v>
      </c>
      <c r="AX45">
        <v>0.13</v>
      </c>
      <c r="AY45">
        <v>7</v>
      </c>
      <c r="AZ45">
        <v>5</v>
      </c>
      <c r="BA45">
        <v>83</v>
      </c>
      <c r="BB45">
        <v>85</v>
      </c>
      <c r="BC45">
        <v>82</v>
      </c>
      <c r="BD45" s="2">
        <v>0.38819444444444445</v>
      </c>
      <c r="BE45">
        <v>7</v>
      </c>
      <c r="BF45" t="s">
        <v>42</v>
      </c>
      <c r="BG45" t="s">
        <v>273</v>
      </c>
      <c r="BH45">
        <v>12</v>
      </c>
      <c r="BI45" t="s">
        <v>43</v>
      </c>
      <c r="BJ45" t="s">
        <v>274</v>
      </c>
      <c r="BN45" t="s">
        <v>40</v>
      </c>
      <c r="BU45">
        <v>1.9E-3</v>
      </c>
      <c r="BV45">
        <v>1E-3</v>
      </c>
      <c r="BW45">
        <v>1.9E-3</v>
      </c>
      <c r="BX45">
        <v>1.0200000000000001E-2</v>
      </c>
    </row>
    <row r="46" spans="1:105" x14ac:dyDescent="0.25">
      <c r="A46">
        <v>22</v>
      </c>
      <c r="B46" s="1">
        <v>44340</v>
      </c>
      <c r="C46" s="2">
        <v>0.61249999999999993</v>
      </c>
      <c r="D46">
        <v>2726</v>
      </c>
      <c r="E46" t="s">
        <v>219</v>
      </c>
      <c r="F46" t="s">
        <v>220</v>
      </c>
      <c r="G46">
        <v>2</v>
      </c>
      <c r="H46">
        <v>39</v>
      </c>
      <c r="I46">
        <v>2</v>
      </c>
      <c r="J46" t="s">
        <v>39</v>
      </c>
      <c r="K46">
        <v>22042</v>
      </c>
      <c r="L46" t="s">
        <v>269</v>
      </c>
      <c r="M46" t="s">
        <v>221</v>
      </c>
      <c r="N46" t="s">
        <v>222</v>
      </c>
      <c r="O46" t="s">
        <v>223</v>
      </c>
      <c r="Q46">
        <v>825</v>
      </c>
      <c r="R46">
        <v>150</v>
      </c>
      <c r="U46">
        <v>23.7</v>
      </c>
      <c r="V46">
        <v>7.9</v>
      </c>
      <c r="W46">
        <v>20</v>
      </c>
      <c r="Y46">
        <v>10</v>
      </c>
      <c r="Z46">
        <v>2727</v>
      </c>
      <c r="AA46">
        <v>1036.5999999999999</v>
      </c>
      <c r="AB46">
        <v>0.22923485183547102</v>
      </c>
      <c r="AC46" t="s">
        <v>40</v>
      </c>
      <c r="AD46">
        <v>2</v>
      </c>
      <c r="AE46">
        <v>41</v>
      </c>
      <c r="AF46" t="s">
        <v>224</v>
      </c>
      <c r="AG46">
        <v>2.5</v>
      </c>
      <c r="AH46">
        <v>3.7</v>
      </c>
      <c r="AI46">
        <v>3.7</v>
      </c>
      <c r="AJ46">
        <v>3.7</v>
      </c>
      <c r="AK46">
        <v>3.4000000000000004</v>
      </c>
      <c r="AL46">
        <v>46</v>
      </c>
      <c r="AM46">
        <v>50</v>
      </c>
      <c r="AN46">
        <v>54</v>
      </c>
      <c r="AO46">
        <v>46</v>
      </c>
      <c r="AP46">
        <v>49</v>
      </c>
      <c r="AQ46">
        <v>4</v>
      </c>
      <c r="AR46">
        <v>74</v>
      </c>
      <c r="AS46">
        <v>70</v>
      </c>
      <c r="AT46">
        <v>2.5</v>
      </c>
      <c r="AU46">
        <v>16</v>
      </c>
      <c r="AV46">
        <v>16</v>
      </c>
      <c r="AW46">
        <v>11.4</v>
      </c>
      <c r="AX46">
        <v>0.11</v>
      </c>
      <c r="AY46">
        <v>7</v>
      </c>
      <c r="AZ46">
        <v>5</v>
      </c>
      <c r="BA46">
        <v>83</v>
      </c>
      <c r="BB46">
        <v>85</v>
      </c>
      <c r="BC46">
        <v>82</v>
      </c>
      <c r="BD46" s="2">
        <v>0.35555555555555557</v>
      </c>
      <c r="BE46">
        <v>113</v>
      </c>
      <c r="BF46" t="s">
        <v>42</v>
      </c>
      <c r="BG46" t="s">
        <v>275</v>
      </c>
      <c r="BH46">
        <v>12</v>
      </c>
      <c r="BI46" t="s">
        <v>43</v>
      </c>
      <c r="BJ46" t="s">
        <v>274</v>
      </c>
      <c r="BK46">
        <v>304.7</v>
      </c>
      <c r="BL46">
        <v>92.6</v>
      </c>
      <c r="BM46">
        <v>2</v>
      </c>
      <c r="BN46" t="s">
        <v>40</v>
      </c>
      <c r="BS46">
        <v>4.0099999999999997E-2</v>
      </c>
      <c r="BT46">
        <v>85</v>
      </c>
      <c r="BY46">
        <v>0.49809999999999999</v>
      </c>
      <c r="CA46">
        <v>0.26919999999999999</v>
      </c>
      <c r="CB46">
        <v>5.5</v>
      </c>
      <c r="CC46">
        <v>1.83</v>
      </c>
      <c r="CM46">
        <v>2E-3</v>
      </c>
    </row>
    <row r="47" spans="1:105" x14ac:dyDescent="0.25">
      <c r="A47">
        <v>22</v>
      </c>
      <c r="B47" s="1">
        <v>44340</v>
      </c>
      <c r="C47" s="2">
        <v>0.4513888888888889</v>
      </c>
      <c r="D47">
        <v>2726</v>
      </c>
      <c r="E47" t="s">
        <v>219</v>
      </c>
      <c r="F47" t="s">
        <v>220</v>
      </c>
      <c r="G47">
        <v>2</v>
      </c>
      <c r="H47">
        <v>22</v>
      </c>
      <c r="I47">
        <v>1</v>
      </c>
      <c r="J47" t="s">
        <v>39</v>
      </c>
      <c r="K47">
        <v>22042</v>
      </c>
      <c r="L47" t="s">
        <v>269</v>
      </c>
      <c r="M47" t="s">
        <v>221</v>
      </c>
      <c r="N47" t="s">
        <v>222</v>
      </c>
      <c r="O47" t="s">
        <v>223</v>
      </c>
      <c r="Q47">
        <v>825</v>
      </c>
      <c r="R47">
        <v>150</v>
      </c>
      <c r="U47">
        <v>23.7</v>
      </c>
      <c r="V47">
        <v>7.9</v>
      </c>
      <c r="W47">
        <v>20</v>
      </c>
      <c r="Y47">
        <v>10</v>
      </c>
      <c r="Z47">
        <v>2727</v>
      </c>
      <c r="AA47">
        <v>1036.5999999999999</v>
      </c>
      <c r="AB47">
        <v>0.22923485183547102</v>
      </c>
      <c r="AC47">
        <v>0.246</v>
      </c>
      <c r="AD47">
        <v>2</v>
      </c>
      <c r="AE47">
        <v>41</v>
      </c>
      <c r="AF47" t="s">
        <v>224</v>
      </c>
      <c r="AG47">
        <v>3.4</v>
      </c>
      <c r="AH47">
        <v>3</v>
      </c>
      <c r="AI47">
        <v>3.5</v>
      </c>
      <c r="AJ47">
        <v>3</v>
      </c>
      <c r="AK47">
        <v>3.2250000000000001</v>
      </c>
      <c r="AL47">
        <v>30</v>
      </c>
      <c r="AM47">
        <v>48</v>
      </c>
      <c r="AN47">
        <v>66</v>
      </c>
      <c r="AO47">
        <v>40</v>
      </c>
      <c r="AP47">
        <v>46</v>
      </c>
      <c r="AQ47">
        <v>4</v>
      </c>
      <c r="AR47">
        <v>74</v>
      </c>
      <c r="AS47">
        <v>70</v>
      </c>
      <c r="AT47">
        <v>2.5</v>
      </c>
      <c r="AU47">
        <v>16.100000000000001</v>
      </c>
      <c r="AV47">
        <v>16.399999999999999</v>
      </c>
      <c r="AW47">
        <v>11.7</v>
      </c>
      <c r="AX47">
        <v>0.11</v>
      </c>
      <c r="AY47">
        <v>5</v>
      </c>
      <c r="AZ47">
        <v>5</v>
      </c>
      <c r="BA47">
        <v>83</v>
      </c>
      <c r="BB47">
        <v>85</v>
      </c>
      <c r="BC47">
        <v>82</v>
      </c>
      <c r="BD47" s="2">
        <v>0.36805555555555558</v>
      </c>
      <c r="BE47">
        <v>96</v>
      </c>
      <c r="BF47" t="s">
        <v>42</v>
      </c>
      <c r="BG47" t="s">
        <v>276</v>
      </c>
      <c r="BH47">
        <v>12</v>
      </c>
      <c r="BI47" t="s">
        <v>43</v>
      </c>
      <c r="BJ47" t="s">
        <v>274</v>
      </c>
      <c r="BK47">
        <v>304.8</v>
      </c>
      <c r="BL47">
        <v>92.5</v>
      </c>
      <c r="BM47">
        <v>2</v>
      </c>
      <c r="BN47" t="s">
        <v>40</v>
      </c>
      <c r="BO47">
        <v>1670.95</v>
      </c>
      <c r="BS47">
        <v>4.1399999999999999E-2</v>
      </c>
      <c r="BT47">
        <v>81</v>
      </c>
      <c r="BU47">
        <v>2.5000000000000001E-3</v>
      </c>
      <c r="BV47">
        <v>1.1999999999999999E-3</v>
      </c>
      <c r="BW47">
        <v>2.5000000000000001E-3</v>
      </c>
      <c r="BX47">
        <v>1.04E-2</v>
      </c>
      <c r="BY47">
        <v>46.08</v>
      </c>
      <c r="CA47">
        <v>0.26390000000000002</v>
      </c>
      <c r="CB47">
        <v>5.6</v>
      </c>
      <c r="CC47">
        <v>1.85</v>
      </c>
      <c r="CD47">
        <v>1.0509999999999999</v>
      </c>
      <c r="CE47">
        <v>8.1799999999999998E-2</v>
      </c>
      <c r="CF47">
        <v>2.1299999999999999E-2</v>
      </c>
      <c r="CG47">
        <v>2.3900000000000001E-2</v>
      </c>
      <c r="CH47">
        <v>2.7400000000000001E-2</v>
      </c>
      <c r="CI47">
        <v>2.4899999999999999E-2</v>
      </c>
      <c r="CJ47">
        <v>2.4400000000000002E-2</v>
      </c>
      <c r="CK47">
        <v>2.1600000000000001E-2</v>
      </c>
      <c r="CL47">
        <v>3.5999999999999997E-2</v>
      </c>
      <c r="CM47">
        <v>1.4E-3</v>
      </c>
      <c r="CN47">
        <v>0.246</v>
      </c>
      <c r="CO47">
        <v>0.249</v>
      </c>
      <c r="CP47">
        <v>0.21740000000000001</v>
      </c>
    </row>
    <row r="48" spans="1:105" x14ac:dyDescent="0.25">
      <c r="A48">
        <v>22</v>
      </c>
      <c r="B48" s="1">
        <v>44340</v>
      </c>
      <c r="C48" s="2">
        <v>0.29166666666666669</v>
      </c>
      <c r="D48">
        <v>2726</v>
      </c>
      <c r="E48" t="s">
        <v>219</v>
      </c>
      <c r="F48" t="s">
        <v>220</v>
      </c>
      <c r="G48">
        <v>2</v>
      </c>
      <c r="H48">
        <v>6</v>
      </c>
      <c r="I48">
        <v>1</v>
      </c>
      <c r="J48" t="s">
        <v>39</v>
      </c>
      <c r="K48">
        <v>22042</v>
      </c>
      <c r="L48" t="s">
        <v>269</v>
      </c>
      <c r="M48" t="s">
        <v>221</v>
      </c>
      <c r="N48" t="s">
        <v>222</v>
      </c>
      <c r="O48" t="s">
        <v>223</v>
      </c>
      <c r="Q48">
        <v>825</v>
      </c>
      <c r="R48">
        <v>150</v>
      </c>
      <c r="U48">
        <v>23.7</v>
      </c>
      <c r="V48">
        <v>7.9</v>
      </c>
      <c r="W48">
        <v>20</v>
      </c>
      <c r="Y48">
        <v>10</v>
      </c>
      <c r="Z48">
        <v>2727</v>
      </c>
      <c r="AA48">
        <v>1036.5999999999999</v>
      </c>
      <c r="AB48">
        <v>0.22923485183547102</v>
      </c>
      <c r="AC48" t="s">
        <v>40</v>
      </c>
      <c r="AD48">
        <v>2</v>
      </c>
      <c r="AE48">
        <v>41</v>
      </c>
      <c r="AF48" t="s">
        <v>224</v>
      </c>
      <c r="AG48">
        <v>3.4</v>
      </c>
      <c r="AH48">
        <v>2.9</v>
      </c>
      <c r="AI48">
        <v>3.4</v>
      </c>
      <c r="AJ48">
        <v>3.6</v>
      </c>
      <c r="AK48">
        <v>3.3249999999999997</v>
      </c>
      <c r="AL48">
        <v>44</v>
      </c>
      <c r="AM48">
        <v>56</v>
      </c>
      <c r="AN48">
        <v>70</v>
      </c>
      <c r="AO48">
        <v>66</v>
      </c>
      <c r="AP48">
        <v>59</v>
      </c>
      <c r="AQ48">
        <v>4</v>
      </c>
      <c r="AR48">
        <v>78</v>
      </c>
      <c r="AS48">
        <v>70</v>
      </c>
      <c r="AT48">
        <v>2.4</v>
      </c>
      <c r="AU48">
        <v>16.3</v>
      </c>
      <c r="AV48">
        <v>16.2</v>
      </c>
      <c r="AW48">
        <v>10.6</v>
      </c>
      <c r="AX48">
        <v>0.1</v>
      </c>
      <c r="AY48">
        <v>5</v>
      </c>
      <c r="AZ48">
        <v>5</v>
      </c>
      <c r="BA48">
        <v>83</v>
      </c>
      <c r="BB48">
        <v>85</v>
      </c>
      <c r="BC48">
        <v>82</v>
      </c>
      <c r="BD48" s="2">
        <v>0.34722222222222227</v>
      </c>
      <c r="BE48">
        <v>77</v>
      </c>
      <c r="BF48" t="s">
        <v>42</v>
      </c>
      <c r="BG48" t="s">
        <v>277</v>
      </c>
      <c r="BH48">
        <v>12</v>
      </c>
      <c r="BI48" t="s">
        <v>43</v>
      </c>
      <c r="BJ48" t="s">
        <v>274</v>
      </c>
      <c r="BK48">
        <v>304.89999999999998</v>
      </c>
      <c r="BL48">
        <v>92.3</v>
      </c>
      <c r="BM48">
        <v>3</v>
      </c>
      <c r="BN48" t="s">
        <v>40</v>
      </c>
      <c r="BP48">
        <v>0.1047</v>
      </c>
      <c r="BQ48">
        <v>4.02E-2</v>
      </c>
      <c r="BR48">
        <v>85</v>
      </c>
      <c r="BS48">
        <v>3.9100000000000003E-2</v>
      </c>
      <c r="BT48">
        <v>83</v>
      </c>
      <c r="BU48">
        <v>1.6000000000000001E-3</v>
      </c>
      <c r="BV48">
        <v>1.1999999999999999E-3</v>
      </c>
      <c r="BW48">
        <v>1.6000000000000001E-3</v>
      </c>
      <c r="BX48">
        <v>1.0200000000000001E-2</v>
      </c>
      <c r="BY48">
        <v>0.48580000000000001</v>
      </c>
      <c r="CA48">
        <v>0.26119999999999999</v>
      </c>
      <c r="CB48">
        <v>5.74</v>
      </c>
      <c r="CC48">
        <v>1.84</v>
      </c>
      <c r="CM48">
        <v>3.2000000000000002E-3</v>
      </c>
      <c r="CQ48">
        <v>0.748</v>
      </c>
      <c r="CR48">
        <v>6.42</v>
      </c>
      <c r="CS48">
        <v>1.0027999999999999</v>
      </c>
      <c r="CT48">
        <v>1.33</v>
      </c>
      <c r="CU48">
        <v>1.0036</v>
      </c>
      <c r="CV48">
        <v>0.44</v>
      </c>
      <c r="CW48">
        <v>1.0024999999999999</v>
      </c>
      <c r="CX48">
        <v>0.23</v>
      </c>
      <c r="CY48" t="s">
        <v>278</v>
      </c>
      <c r="CZ48">
        <v>7.35</v>
      </c>
      <c r="DA48">
        <v>7.28</v>
      </c>
    </row>
    <row r="49" spans="1:105" x14ac:dyDescent="0.25">
      <c r="A49">
        <v>22</v>
      </c>
      <c r="B49" s="1">
        <v>44340</v>
      </c>
      <c r="C49" s="2">
        <v>0.18055555555555555</v>
      </c>
      <c r="D49">
        <v>2726</v>
      </c>
      <c r="E49" t="s">
        <v>219</v>
      </c>
      <c r="F49" t="s">
        <v>220</v>
      </c>
      <c r="G49">
        <v>2</v>
      </c>
      <c r="H49">
        <v>108</v>
      </c>
      <c r="I49">
        <v>5</v>
      </c>
      <c r="J49" t="s">
        <v>39</v>
      </c>
      <c r="K49">
        <v>22042</v>
      </c>
      <c r="L49" t="s">
        <v>269</v>
      </c>
      <c r="M49" t="s">
        <v>221</v>
      </c>
      <c r="N49" t="s">
        <v>222</v>
      </c>
      <c r="O49" t="s">
        <v>223</v>
      </c>
      <c r="Q49">
        <v>825</v>
      </c>
      <c r="R49">
        <v>150</v>
      </c>
      <c r="U49">
        <v>23.7</v>
      </c>
      <c r="V49">
        <v>7.9</v>
      </c>
      <c r="W49">
        <v>20</v>
      </c>
      <c r="Y49">
        <v>10</v>
      </c>
      <c r="Z49">
        <v>2727</v>
      </c>
      <c r="AA49">
        <v>1036.5999999999999</v>
      </c>
      <c r="AB49">
        <v>0.22923485183547102</v>
      </c>
      <c r="AC49" t="s">
        <v>40</v>
      </c>
      <c r="AD49">
        <v>2</v>
      </c>
      <c r="AE49">
        <v>41</v>
      </c>
      <c r="AF49" t="s">
        <v>224</v>
      </c>
      <c r="AG49">
        <v>3.7</v>
      </c>
      <c r="AH49">
        <v>3.5</v>
      </c>
      <c r="AI49">
        <v>3.5</v>
      </c>
      <c r="AJ49">
        <v>3.5</v>
      </c>
      <c r="AK49">
        <v>3.55</v>
      </c>
      <c r="AL49">
        <v>30</v>
      </c>
      <c r="AM49">
        <v>37</v>
      </c>
      <c r="AN49">
        <v>58</v>
      </c>
      <c r="AO49">
        <v>50</v>
      </c>
      <c r="AP49">
        <v>43.75</v>
      </c>
      <c r="AQ49">
        <v>4</v>
      </c>
      <c r="AR49">
        <v>78</v>
      </c>
      <c r="AS49">
        <v>71</v>
      </c>
      <c r="AT49">
        <v>2.4</v>
      </c>
      <c r="AU49">
        <v>16.3</v>
      </c>
      <c r="AV49">
        <v>15.6</v>
      </c>
      <c r="AW49">
        <v>10.9</v>
      </c>
      <c r="AX49">
        <v>8.3900000000000002E-2</v>
      </c>
      <c r="AY49">
        <v>5</v>
      </c>
      <c r="AZ49">
        <v>5</v>
      </c>
      <c r="BA49">
        <v>83</v>
      </c>
      <c r="BB49">
        <v>85</v>
      </c>
      <c r="BC49">
        <v>82</v>
      </c>
      <c r="BD49" s="2">
        <v>0.31944444444444448</v>
      </c>
      <c r="BE49">
        <v>65</v>
      </c>
      <c r="BF49" t="s">
        <v>237</v>
      </c>
      <c r="BH49">
        <v>12</v>
      </c>
      <c r="BI49" t="s">
        <v>43</v>
      </c>
      <c r="BJ49" t="s">
        <v>238</v>
      </c>
      <c r="BK49">
        <v>170.2</v>
      </c>
      <c r="BL49">
        <v>92.1</v>
      </c>
      <c r="BM49">
        <v>0</v>
      </c>
      <c r="BN49" t="s">
        <v>40</v>
      </c>
      <c r="BS49">
        <v>4.1200000000000001E-2</v>
      </c>
      <c r="BT49">
        <v>87</v>
      </c>
      <c r="BY49">
        <v>0.45750000000000002</v>
      </c>
      <c r="CA49">
        <v>0.2611</v>
      </c>
      <c r="CB49">
        <v>5.75</v>
      </c>
      <c r="CC49">
        <v>1.85</v>
      </c>
      <c r="CM49">
        <v>1.6999999999999999E-3</v>
      </c>
    </row>
    <row r="50" spans="1:105" x14ac:dyDescent="0.25">
      <c r="A50">
        <v>22</v>
      </c>
      <c r="B50" s="1">
        <v>44340</v>
      </c>
      <c r="C50" s="2">
        <v>7.2916666666666671E-2</v>
      </c>
      <c r="D50">
        <v>2726</v>
      </c>
      <c r="E50" t="s">
        <v>219</v>
      </c>
      <c r="F50" t="s">
        <v>220</v>
      </c>
      <c r="G50">
        <v>2</v>
      </c>
      <c r="H50">
        <v>96</v>
      </c>
      <c r="I50">
        <v>4</v>
      </c>
      <c r="J50" t="s">
        <v>39</v>
      </c>
      <c r="K50">
        <v>22042</v>
      </c>
      <c r="L50" t="s">
        <v>269</v>
      </c>
      <c r="M50" t="s">
        <v>221</v>
      </c>
      <c r="N50" t="s">
        <v>222</v>
      </c>
      <c r="O50" t="s">
        <v>223</v>
      </c>
      <c r="Q50">
        <v>825</v>
      </c>
      <c r="R50">
        <v>150</v>
      </c>
      <c r="U50">
        <v>23.7</v>
      </c>
      <c r="V50">
        <v>7.9</v>
      </c>
      <c r="W50">
        <v>20</v>
      </c>
      <c r="Y50">
        <v>10</v>
      </c>
      <c r="Z50">
        <v>2727</v>
      </c>
      <c r="AA50">
        <v>1036.5999999999999</v>
      </c>
      <c r="AB50">
        <v>0.22923485183547102</v>
      </c>
      <c r="AC50" t="s">
        <v>40</v>
      </c>
      <c r="AD50">
        <v>2</v>
      </c>
      <c r="AE50">
        <v>41</v>
      </c>
      <c r="AF50" t="s">
        <v>224</v>
      </c>
      <c r="AG50">
        <v>4.4000000000000004</v>
      </c>
      <c r="AH50">
        <v>3.1</v>
      </c>
      <c r="AI50">
        <v>3.5</v>
      </c>
      <c r="AJ50">
        <v>3.8</v>
      </c>
      <c r="AK50">
        <v>3.7</v>
      </c>
      <c r="AL50">
        <v>30</v>
      </c>
      <c r="AM50">
        <v>35</v>
      </c>
      <c r="AN50">
        <v>60</v>
      </c>
      <c r="AO50">
        <v>40</v>
      </c>
      <c r="AP50">
        <v>41.25</v>
      </c>
      <c r="AQ50">
        <v>4</v>
      </c>
      <c r="AR50">
        <v>79</v>
      </c>
      <c r="AS50">
        <v>70</v>
      </c>
      <c r="AT50">
        <v>2.2999999999999998</v>
      </c>
      <c r="AU50">
        <v>16.2</v>
      </c>
      <c r="AV50">
        <v>16.5</v>
      </c>
      <c r="AW50">
        <v>10.7</v>
      </c>
      <c r="AX50">
        <v>8.2900000000000001E-2</v>
      </c>
      <c r="AY50">
        <v>5</v>
      </c>
      <c r="AZ50">
        <v>5</v>
      </c>
      <c r="BA50">
        <v>83</v>
      </c>
      <c r="BB50">
        <v>85</v>
      </c>
      <c r="BC50">
        <v>82</v>
      </c>
      <c r="BD50" s="2">
        <v>0.28819444444444448</v>
      </c>
      <c r="BE50">
        <v>58</v>
      </c>
      <c r="BF50" t="s">
        <v>237</v>
      </c>
      <c r="BG50" t="s">
        <v>279</v>
      </c>
      <c r="BH50">
        <v>12</v>
      </c>
      <c r="BI50" t="s">
        <v>43</v>
      </c>
      <c r="BJ50" t="s">
        <v>238</v>
      </c>
      <c r="BK50">
        <v>304.7</v>
      </c>
      <c r="BL50">
        <v>92</v>
      </c>
      <c r="BM50">
        <v>0</v>
      </c>
      <c r="BN50" t="s">
        <v>40</v>
      </c>
      <c r="BS50">
        <v>4.1300000000000003E-2</v>
      </c>
      <c r="BT50">
        <v>82</v>
      </c>
      <c r="BY50">
        <v>0.44409999999999999</v>
      </c>
      <c r="CA50">
        <v>0.2616</v>
      </c>
      <c r="CB50">
        <v>4.91</v>
      </c>
      <c r="CC50">
        <v>1.85</v>
      </c>
      <c r="CM50">
        <v>2.2000000000000001E-3</v>
      </c>
    </row>
    <row r="51" spans="1:105" x14ac:dyDescent="0.25">
      <c r="A51">
        <v>22</v>
      </c>
      <c r="B51" s="1">
        <v>44339</v>
      </c>
      <c r="C51" s="2">
        <v>0.94444444444444453</v>
      </c>
      <c r="D51">
        <v>2726</v>
      </c>
      <c r="E51" t="s">
        <v>219</v>
      </c>
      <c r="F51" t="s">
        <v>220</v>
      </c>
      <c r="G51">
        <v>2</v>
      </c>
      <c r="H51">
        <v>78</v>
      </c>
      <c r="I51">
        <v>3</v>
      </c>
      <c r="J51" t="s">
        <v>39</v>
      </c>
      <c r="K51">
        <v>22042</v>
      </c>
      <c r="L51" t="s">
        <v>269</v>
      </c>
      <c r="M51" t="s">
        <v>221</v>
      </c>
      <c r="N51" t="s">
        <v>222</v>
      </c>
      <c r="O51" t="s">
        <v>223</v>
      </c>
      <c r="Q51">
        <v>825</v>
      </c>
      <c r="R51">
        <v>150</v>
      </c>
      <c r="U51">
        <v>23.7</v>
      </c>
      <c r="V51">
        <v>7.9</v>
      </c>
      <c r="W51">
        <v>20</v>
      </c>
      <c r="Y51">
        <v>10</v>
      </c>
      <c r="Z51">
        <v>2727</v>
      </c>
      <c r="AA51">
        <v>1036.5999999999999</v>
      </c>
      <c r="AB51">
        <v>0.22923485183547102</v>
      </c>
      <c r="AC51">
        <v>0.24859999999999999</v>
      </c>
      <c r="AD51">
        <v>2</v>
      </c>
      <c r="AE51">
        <v>41</v>
      </c>
      <c r="AF51" t="s">
        <v>224</v>
      </c>
      <c r="AG51">
        <v>4.5</v>
      </c>
      <c r="AH51">
        <v>3.2</v>
      </c>
      <c r="AI51">
        <v>3.3</v>
      </c>
      <c r="AJ51">
        <v>3.5</v>
      </c>
      <c r="AK51">
        <v>3.625</v>
      </c>
      <c r="AL51">
        <v>35</v>
      </c>
      <c r="AM51">
        <v>40</v>
      </c>
      <c r="AN51">
        <v>42</v>
      </c>
      <c r="AO51">
        <v>42</v>
      </c>
      <c r="AP51">
        <v>39.75</v>
      </c>
      <c r="AQ51">
        <v>4</v>
      </c>
      <c r="AR51">
        <v>79</v>
      </c>
      <c r="AS51">
        <v>70</v>
      </c>
      <c r="AT51">
        <v>2.1</v>
      </c>
      <c r="AU51">
        <v>15.7</v>
      </c>
      <c r="AV51">
        <v>16.600000000000001</v>
      </c>
      <c r="AW51">
        <v>10.9</v>
      </c>
      <c r="AX51">
        <v>7.22E-2</v>
      </c>
      <c r="AY51">
        <v>5</v>
      </c>
      <c r="AZ51">
        <v>5</v>
      </c>
      <c r="BA51">
        <v>83</v>
      </c>
      <c r="BB51">
        <v>85</v>
      </c>
      <c r="BC51">
        <v>82</v>
      </c>
      <c r="BD51" s="2">
        <v>0.32291666666666669</v>
      </c>
      <c r="BE51">
        <v>38</v>
      </c>
      <c r="BF51" t="s">
        <v>237</v>
      </c>
      <c r="BG51" t="s">
        <v>280</v>
      </c>
      <c r="BH51">
        <v>11</v>
      </c>
      <c r="BI51" t="s">
        <v>43</v>
      </c>
      <c r="BJ51" t="s">
        <v>238</v>
      </c>
      <c r="BK51">
        <v>304.8</v>
      </c>
      <c r="BL51">
        <v>92.2</v>
      </c>
      <c r="BM51">
        <v>0</v>
      </c>
      <c r="BN51" t="s">
        <v>40</v>
      </c>
      <c r="BS51">
        <v>4.1099999999999998E-2</v>
      </c>
      <c r="BT51">
        <v>84</v>
      </c>
      <c r="BU51">
        <v>2E-3</v>
      </c>
      <c r="BV51">
        <v>1.2999999999999999E-3</v>
      </c>
      <c r="BW51">
        <v>1.2999999999999999E-3</v>
      </c>
      <c r="BX51">
        <v>9.1000000000000004E-3</v>
      </c>
      <c r="BY51">
        <v>0.42149999999999999</v>
      </c>
      <c r="CA51">
        <v>0.2616</v>
      </c>
      <c r="CB51">
        <v>5.15</v>
      </c>
      <c r="CC51">
        <v>1.81</v>
      </c>
      <c r="CD51">
        <v>1.05</v>
      </c>
      <c r="CE51">
        <v>8.0500000000000002E-2</v>
      </c>
      <c r="CF51">
        <v>1.5100000000000001E-2</v>
      </c>
      <c r="CG51">
        <v>1.7299999999999999E-2</v>
      </c>
      <c r="CH51">
        <v>2.06E-2</v>
      </c>
      <c r="CI51">
        <v>1.7299999999999999E-2</v>
      </c>
      <c r="CJ51">
        <v>1.7600000000000001E-2</v>
      </c>
      <c r="CK51">
        <v>1.1299999999999999E-2</v>
      </c>
      <c r="CL51">
        <v>3.4599999999999999E-2</v>
      </c>
      <c r="CM51">
        <v>1.1000000000000001E-3</v>
      </c>
      <c r="CN51">
        <v>0.24859999999999999</v>
      </c>
      <c r="CO51">
        <v>0.26219999999999999</v>
      </c>
      <c r="CP51">
        <v>0.31240000000000001</v>
      </c>
      <c r="CQ51">
        <v>0.73599999999999999</v>
      </c>
      <c r="CR51">
        <v>6.08</v>
      </c>
      <c r="CS51">
        <v>1.0024999999999999</v>
      </c>
      <c r="CT51">
        <v>2.02</v>
      </c>
      <c r="CU51">
        <v>1.0055000000000001</v>
      </c>
      <c r="CV51">
        <v>0.46</v>
      </c>
      <c r="CW51">
        <v>1.0042</v>
      </c>
      <c r="CX51">
        <v>0.22</v>
      </c>
      <c r="CY51" t="s">
        <v>278</v>
      </c>
    </row>
    <row r="52" spans="1:105" x14ac:dyDescent="0.25">
      <c r="A52">
        <v>22</v>
      </c>
      <c r="B52" s="1">
        <v>44339</v>
      </c>
      <c r="C52" s="2">
        <v>0.80555555555555547</v>
      </c>
      <c r="D52">
        <v>2726</v>
      </c>
      <c r="E52" t="s">
        <v>219</v>
      </c>
      <c r="F52" t="s">
        <v>220</v>
      </c>
      <c r="G52">
        <v>2</v>
      </c>
      <c r="H52">
        <v>62</v>
      </c>
      <c r="I52">
        <v>3</v>
      </c>
      <c r="J52" t="s">
        <v>39</v>
      </c>
      <c r="K52">
        <v>22042</v>
      </c>
      <c r="L52" t="s">
        <v>269</v>
      </c>
      <c r="M52" t="s">
        <v>221</v>
      </c>
      <c r="N52" t="s">
        <v>222</v>
      </c>
      <c r="O52" t="s">
        <v>223</v>
      </c>
      <c r="Q52">
        <v>825</v>
      </c>
      <c r="R52">
        <v>150</v>
      </c>
      <c r="U52">
        <v>23.7</v>
      </c>
      <c r="V52">
        <v>7.9</v>
      </c>
      <c r="W52">
        <v>20</v>
      </c>
      <c r="Y52">
        <v>10</v>
      </c>
      <c r="Z52">
        <v>2727</v>
      </c>
      <c r="AA52">
        <v>1036.5999999999999</v>
      </c>
      <c r="AB52">
        <v>0.22923485183547102</v>
      </c>
      <c r="AC52" t="s">
        <v>40</v>
      </c>
      <c r="AD52">
        <v>2</v>
      </c>
      <c r="AE52">
        <v>41</v>
      </c>
      <c r="AF52" t="s">
        <v>224</v>
      </c>
      <c r="AG52">
        <v>4.2</v>
      </c>
      <c r="AH52">
        <v>2.9</v>
      </c>
      <c r="AI52">
        <v>3.4</v>
      </c>
      <c r="AJ52">
        <v>3.7</v>
      </c>
      <c r="AK52">
        <v>3.55</v>
      </c>
      <c r="AL52">
        <v>30</v>
      </c>
      <c r="AM52">
        <v>33</v>
      </c>
      <c r="AN52">
        <v>44</v>
      </c>
      <c r="AO52">
        <v>39</v>
      </c>
      <c r="AP52">
        <v>36.5</v>
      </c>
      <c r="AQ52">
        <v>4</v>
      </c>
      <c r="AR52">
        <v>70</v>
      </c>
      <c r="AS52">
        <v>70</v>
      </c>
      <c r="AT52">
        <v>2.2999999999999998</v>
      </c>
      <c r="AU52">
        <v>15.4</v>
      </c>
      <c r="AV52">
        <v>15.9</v>
      </c>
      <c r="AW52">
        <v>9.9</v>
      </c>
      <c r="AX52">
        <v>5.5599999999999997E-2</v>
      </c>
      <c r="AY52">
        <v>6</v>
      </c>
      <c r="AZ52">
        <v>5</v>
      </c>
      <c r="BA52">
        <v>83</v>
      </c>
      <c r="BB52">
        <v>85</v>
      </c>
      <c r="BC52">
        <v>82</v>
      </c>
      <c r="BD52" s="2">
        <v>0.37152777777777773</v>
      </c>
      <c r="BE52">
        <v>20</v>
      </c>
      <c r="BF52" t="s">
        <v>237</v>
      </c>
      <c r="BG52" t="s">
        <v>281</v>
      </c>
      <c r="BH52">
        <v>11</v>
      </c>
      <c r="BI52" t="s">
        <v>43</v>
      </c>
      <c r="BJ52" t="s">
        <v>238</v>
      </c>
      <c r="BK52">
        <v>305</v>
      </c>
      <c r="BL52">
        <v>92</v>
      </c>
      <c r="BM52">
        <v>2</v>
      </c>
      <c r="BN52">
        <v>260.5</v>
      </c>
      <c r="BO52">
        <v>1671.97</v>
      </c>
      <c r="BS52">
        <v>4.0800000000000003E-2</v>
      </c>
      <c r="BT52">
        <v>81</v>
      </c>
      <c r="BU52">
        <v>1.9E-3</v>
      </c>
      <c r="BV52">
        <v>1.1000000000000001E-3</v>
      </c>
      <c r="BW52">
        <v>1.9E-3</v>
      </c>
      <c r="BX52">
        <v>1.0200000000000001E-2</v>
      </c>
      <c r="BY52">
        <v>0.45829999999999999</v>
      </c>
      <c r="CA52">
        <v>0.26140000000000002</v>
      </c>
      <c r="CB52">
        <v>5.14</v>
      </c>
      <c r="CC52">
        <v>1.85</v>
      </c>
      <c r="CM52">
        <v>1.1999999999999999E-3</v>
      </c>
      <c r="DA52">
        <v>8.58</v>
      </c>
    </row>
    <row r="53" spans="1:105" x14ac:dyDescent="0.25">
      <c r="A53">
        <v>22</v>
      </c>
      <c r="B53" s="1">
        <v>44339</v>
      </c>
      <c r="C53" s="2">
        <v>0.67708333333333337</v>
      </c>
      <c r="D53">
        <v>2726</v>
      </c>
      <c r="E53" t="s">
        <v>219</v>
      </c>
      <c r="F53" t="s">
        <v>220</v>
      </c>
      <c r="G53">
        <v>2</v>
      </c>
      <c r="H53">
        <v>46</v>
      </c>
      <c r="I53">
        <v>2</v>
      </c>
      <c r="J53" t="s">
        <v>39</v>
      </c>
      <c r="K53">
        <v>22042</v>
      </c>
      <c r="L53" t="s">
        <v>269</v>
      </c>
      <c r="M53" t="s">
        <v>221</v>
      </c>
      <c r="N53" t="s">
        <v>222</v>
      </c>
      <c r="O53" t="s">
        <v>223</v>
      </c>
      <c r="Q53">
        <v>825</v>
      </c>
      <c r="R53">
        <v>150</v>
      </c>
      <c r="U53">
        <v>23.7</v>
      </c>
      <c r="V53">
        <v>7.9</v>
      </c>
      <c r="W53">
        <v>20</v>
      </c>
      <c r="Y53">
        <v>10</v>
      </c>
      <c r="Z53">
        <v>2727</v>
      </c>
      <c r="AA53">
        <v>1036.5999999999999</v>
      </c>
      <c r="AB53">
        <v>0.22923485183547102</v>
      </c>
      <c r="AC53" t="s">
        <v>40</v>
      </c>
      <c r="AD53">
        <v>2</v>
      </c>
      <c r="AE53">
        <v>41</v>
      </c>
      <c r="AF53" t="s">
        <v>224</v>
      </c>
      <c r="AG53">
        <v>3.9</v>
      </c>
      <c r="AH53">
        <v>2.7</v>
      </c>
      <c r="AI53">
        <v>3.8</v>
      </c>
      <c r="AJ53">
        <v>3.4</v>
      </c>
      <c r="AK53">
        <v>3.4499999999999997</v>
      </c>
      <c r="AL53">
        <v>46</v>
      </c>
      <c r="AM53">
        <v>50</v>
      </c>
      <c r="AN53">
        <v>62</v>
      </c>
      <c r="AO53">
        <v>52</v>
      </c>
      <c r="AP53">
        <v>52.5</v>
      </c>
      <c r="AQ53">
        <v>4</v>
      </c>
      <c r="AR53">
        <v>70</v>
      </c>
      <c r="AS53">
        <v>70</v>
      </c>
      <c r="AT53">
        <v>2.4</v>
      </c>
      <c r="AU53">
        <v>16.399999999999999</v>
      </c>
      <c r="AV53">
        <v>16.7</v>
      </c>
      <c r="AW53">
        <v>11.6</v>
      </c>
      <c r="AX53">
        <v>0.11</v>
      </c>
      <c r="AY53">
        <v>6</v>
      </c>
      <c r="AZ53">
        <v>5</v>
      </c>
      <c r="BA53">
        <v>82</v>
      </c>
      <c r="BB53">
        <v>85</v>
      </c>
      <c r="BC53">
        <v>82</v>
      </c>
      <c r="BD53" s="2">
        <v>0.36458333333333331</v>
      </c>
      <c r="BE53">
        <v>9</v>
      </c>
      <c r="BF53" t="s">
        <v>42</v>
      </c>
      <c r="BG53" t="s">
        <v>282</v>
      </c>
      <c r="BH53">
        <v>11</v>
      </c>
      <c r="BI53" t="s">
        <v>43</v>
      </c>
      <c r="BJ53" t="s">
        <v>274</v>
      </c>
      <c r="BN53" t="s">
        <v>40</v>
      </c>
      <c r="BS53">
        <v>3.9399999999999998E-2</v>
      </c>
      <c r="BT53">
        <v>82</v>
      </c>
      <c r="BU53">
        <v>2.5999999999999999E-3</v>
      </c>
      <c r="BV53">
        <v>1.1999999999999999E-3</v>
      </c>
      <c r="BW53">
        <v>2.5999999999999999E-3</v>
      </c>
      <c r="BX53">
        <v>1.0699999999999999E-2</v>
      </c>
      <c r="BY53">
        <v>0.46410000000000001</v>
      </c>
      <c r="CA53">
        <v>0.25990000000000002</v>
      </c>
      <c r="CB53">
        <v>5.51</v>
      </c>
      <c r="CC53">
        <v>1.85</v>
      </c>
    </row>
    <row r="54" spans="1:105" x14ac:dyDescent="0.25">
      <c r="A54">
        <v>22</v>
      </c>
      <c r="B54" s="1">
        <v>44339</v>
      </c>
      <c r="C54" s="2">
        <v>0.60138888888888886</v>
      </c>
      <c r="D54">
        <v>2726</v>
      </c>
      <c r="E54" t="s">
        <v>219</v>
      </c>
      <c r="F54" t="s">
        <v>220</v>
      </c>
      <c r="G54">
        <v>2</v>
      </c>
      <c r="H54">
        <v>35</v>
      </c>
      <c r="I54">
        <v>2</v>
      </c>
      <c r="J54" t="s">
        <v>39</v>
      </c>
      <c r="K54">
        <v>22042</v>
      </c>
      <c r="L54" t="s">
        <v>269</v>
      </c>
      <c r="M54" t="s">
        <v>221</v>
      </c>
      <c r="N54" t="s">
        <v>222</v>
      </c>
      <c r="O54" t="s">
        <v>223</v>
      </c>
      <c r="Q54">
        <v>825</v>
      </c>
      <c r="R54">
        <v>150</v>
      </c>
      <c r="U54">
        <v>23.7</v>
      </c>
      <c r="V54">
        <v>7.9</v>
      </c>
      <c r="W54">
        <v>20</v>
      </c>
      <c r="Y54">
        <v>10</v>
      </c>
      <c r="Z54">
        <v>2727</v>
      </c>
      <c r="AA54">
        <v>1036.5999999999999</v>
      </c>
      <c r="AB54">
        <v>0.22923485183547102</v>
      </c>
      <c r="AC54" t="s">
        <v>40</v>
      </c>
      <c r="AD54">
        <v>2</v>
      </c>
      <c r="AE54">
        <v>41</v>
      </c>
      <c r="AF54" t="s">
        <v>224</v>
      </c>
      <c r="AG54">
        <v>4</v>
      </c>
      <c r="AH54">
        <v>2.8</v>
      </c>
      <c r="AI54">
        <v>4.2</v>
      </c>
      <c r="AJ54">
        <v>3.4</v>
      </c>
      <c r="AK54">
        <v>3.6</v>
      </c>
      <c r="AL54">
        <v>46</v>
      </c>
      <c r="AM54">
        <v>50</v>
      </c>
      <c r="AN54">
        <v>52</v>
      </c>
      <c r="AO54">
        <v>50</v>
      </c>
      <c r="AP54">
        <v>49.5</v>
      </c>
      <c r="AQ54">
        <v>4</v>
      </c>
      <c r="AR54">
        <v>70</v>
      </c>
      <c r="AS54">
        <v>70</v>
      </c>
      <c r="AT54">
        <v>2.4</v>
      </c>
      <c r="AU54">
        <v>16.2</v>
      </c>
      <c r="AV54">
        <v>16.3</v>
      </c>
      <c r="AW54">
        <v>10.1</v>
      </c>
      <c r="AX54">
        <v>0.12</v>
      </c>
      <c r="AY54">
        <v>5</v>
      </c>
      <c r="AZ54">
        <v>5</v>
      </c>
      <c r="BA54">
        <v>83</v>
      </c>
      <c r="BB54">
        <v>85</v>
      </c>
      <c r="BC54">
        <v>82</v>
      </c>
      <c r="BD54" s="2">
        <v>0.77986111111111101</v>
      </c>
      <c r="BE54">
        <v>61</v>
      </c>
      <c r="BF54" t="s">
        <v>42</v>
      </c>
      <c r="BG54" t="s">
        <v>283</v>
      </c>
      <c r="BH54">
        <v>11</v>
      </c>
      <c r="BI54" t="s">
        <v>43</v>
      </c>
      <c r="BJ54" t="s">
        <v>274</v>
      </c>
      <c r="BK54">
        <v>305</v>
      </c>
      <c r="BL54">
        <v>92.4</v>
      </c>
      <c r="BM54">
        <v>2</v>
      </c>
      <c r="BN54" t="s">
        <v>40</v>
      </c>
      <c r="BS54">
        <v>4.0500000000000001E-2</v>
      </c>
      <c r="BT54">
        <v>84</v>
      </c>
      <c r="BY54">
        <v>0.48270000000000002</v>
      </c>
      <c r="CA54">
        <v>0.26479999999999998</v>
      </c>
      <c r="CB54">
        <v>5.43</v>
      </c>
      <c r="CC54">
        <v>1.86</v>
      </c>
      <c r="CM54">
        <v>6.9999999999999999E-4</v>
      </c>
      <c r="CZ54">
        <v>7.43</v>
      </c>
      <c r="DA54">
        <v>10.23</v>
      </c>
    </row>
    <row r="55" spans="1:105" x14ac:dyDescent="0.25">
      <c r="A55">
        <v>22</v>
      </c>
      <c r="B55" s="1">
        <v>44339</v>
      </c>
      <c r="C55" s="2">
        <v>0.45833333333333331</v>
      </c>
      <c r="D55">
        <v>2726</v>
      </c>
      <c r="E55" t="s">
        <v>219</v>
      </c>
      <c r="F55" t="s">
        <v>220</v>
      </c>
      <c r="G55">
        <v>2</v>
      </c>
      <c r="H55">
        <v>20</v>
      </c>
      <c r="I55">
        <v>1</v>
      </c>
      <c r="J55" t="s">
        <v>39</v>
      </c>
      <c r="K55">
        <v>22042</v>
      </c>
      <c r="L55" t="s">
        <v>269</v>
      </c>
      <c r="M55" t="s">
        <v>221</v>
      </c>
      <c r="N55" t="s">
        <v>222</v>
      </c>
      <c r="O55" t="s">
        <v>223</v>
      </c>
      <c r="Q55">
        <v>825</v>
      </c>
      <c r="R55">
        <v>150</v>
      </c>
      <c r="U55">
        <v>23.7</v>
      </c>
      <c r="V55">
        <v>7.9</v>
      </c>
      <c r="W55">
        <v>20</v>
      </c>
      <c r="Y55">
        <v>10</v>
      </c>
      <c r="Z55">
        <v>2727</v>
      </c>
      <c r="AA55">
        <v>1036.5999999999999</v>
      </c>
      <c r="AB55">
        <v>0.22923485183547102</v>
      </c>
      <c r="AC55">
        <v>0.24940000000000001</v>
      </c>
      <c r="AD55">
        <v>2</v>
      </c>
      <c r="AE55">
        <v>41</v>
      </c>
      <c r="AF55" t="s">
        <v>224</v>
      </c>
      <c r="AG55">
        <v>3.7</v>
      </c>
      <c r="AH55">
        <v>3.4</v>
      </c>
      <c r="AI55">
        <v>3.6</v>
      </c>
      <c r="AJ55">
        <v>3.4</v>
      </c>
      <c r="AK55">
        <v>3.5249999999999999</v>
      </c>
      <c r="AL55">
        <v>34</v>
      </c>
      <c r="AM55">
        <v>42</v>
      </c>
      <c r="AN55">
        <v>54</v>
      </c>
      <c r="AO55">
        <v>42</v>
      </c>
      <c r="AP55">
        <v>43</v>
      </c>
      <c r="AQ55">
        <v>4</v>
      </c>
      <c r="AR55">
        <v>67</v>
      </c>
      <c r="AS55">
        <v>70</v>
      </c>
      <c r="AT55">
        <v>2.8</v>
      </c>
      <c r="AU55">
        <v>16.399999999999999</v>
      </c>
      <c r="AV55">
        <v>16.3</v>
      </c>
      <c r="AW55">
        <v>10.8</v>
      </c>
      <c r="AX55">
        <v>0.14000000000000001</v>
      </c>
      <c r="AY55">
        <v>5</v>
      </c>
      <c r="AZ55">
        <v>5</v>
      </c>
      <c r="BA55">
        <v>83</v>
      </c>
      <c r="BB55">
        <v>85</v>
      </c>
      <c r="BC55">
        <v>82</v>
      </c>
      <c r="BD55" s="2">
        <v>0.3972222222222222</v>
      </c>
      <c r="BE55">
        <v>84</v>
      </c>
      <c r="BF55" t="s">
        <v>42</v>
      </c>
      <c r="BG55" t="s">
        <v>284</v>
      </c>
      <c r="BH55">
        <v>11</v>
      </c>
      <c r="BI55" t="s">
        <v>43</v>
      </c>
      <c r="BJ55" t="s">
        <v>274</v>
      </c>
      <c r="BK55">
        <v>304.89999999999998</v>
      </c>
      <c r="BL55">
        <v>92.3</v>
      </c>
      <c r="BM55">
        <v>2</v>
      </c>
      <c r="BN55" t="s">
        <v>40</v>
      </c>
      <c r="BO55">
        <v>1671.03</v>
      </c>
      <c r="BP55">
        <v>0.14069999999999999</v>
      </c>
      <c r="BS55">
        <v>3.9399999999999998E-2</v>
      </c>
      <c r="BT55">
        <v>83</v>
      </c>
      <c r="BU55">
        <v>2E-3</v>
      </c>
      <c r="BV55">
        <v>1.2999999999999999E-3</v>
      </c>
      <c r="BW55">
        <v>1.2999999999999999E-3</v>
      </c>
      <c r="BX55">
        <v>1.09E-2</v>
      </c>
      <c r="BY55">
        <v>0.4536</v>
      </c>
      <c r="CA55">
        <v>0.26219999999999999</v>
      </c>
      <c r="CB55">
        <v>5.34</v>
      </c>
      <c r="CC55">
        <v>1.86</v>
      </c>
      <c r="CD55">
        <v>1.042</v>
      </c>
      <c r="CE55">
        <v>6.7000000000000004E-2</v>
      </c>
      <c r="CF55">
        <v>1.7399999999999999E-2</v>
      </c>
      <c r="CG55">
        <v>1.1299999999999999E-2</v>
      </c>
      <c r="CH55">
        <v>2.1999999999999999E-2</v>
      </c>
      <c r="CI55">
        <v>1.9E-2</v>
      </c>
      <c r="CJ55">
        <v>1.7399999999999999E-2</v>
      </c>
      <c r="CK55">
        <v>1.77E-2</v>
      </c>
      <c r="CL55">
        <v>3.04E-2</v>
      </c>
      <c r="CM55">
        <v>1.1000000000000001E-3</v>
      </c>
      <c r="CN55">
        <v>0.24940000000000001</v>
      </c>
      <c r="CO55">
        <v>0.2475</v>
      </c>
      <c r="CP55">
        <v>0.20300000000000001</v>
      </c>
    </row>
    <row r="56" spans="1:105" x14ac:dyDescent="0.25">
      <c r="A56">
        <v>22</v>
      </c>
      <c r="B56" s="1">
        <v>44339</v>
      </c>
      <c r="C56" s="2">
        <v>0.3298611111111111</v>
      </c>
      <c r="D56">
        <v>2726</v>
      </c>
      <c r="E56" t="s">
        <v>219</v>
      </c>
      <c r="F56" t="s">
        <v>220</v>
      </c>
      <c r="G56">
        <v>2</v>
      </c>
      <c r="H56">
        <v>9</v>
      </c>
      <c r="I56">
        <v>1</v>
      </c>
      <c r="J56" t="s">
        <v>39</v>
      </c>
      <c r="K56">
        <v>22042</v>
      </c>
      <c r="L56" t="s">
        <v>269</v>
      </c>
      <c r="M56" t="s">
        <v>221</v>
      </c>
      <c r="N56" t="s">
        <v>222</v>
      </c>
      <c r="O56" t="s">
        <v>223</v>
      </c>
      <c r="Q56">
        <v>825</v>
      </c>
      <c r="R56">
        <v>150</v>
      </c>
      <c r="U56">
        <v>23.7</v>
      </c>
      <c r="V56">
        <v>7.9</v>
      </c>
      <c r="W56">
        <v>20</v>
      </c>
      <c r="Y56">
        <v>10</v>
      </c>
      <c r="Z56">
        <v>2727</v>
      </c>
      <c r="AA56">
        <v>1036.5999999999999</v>
      </c>
      <c r="AB56">
        <v>0.22923485183547102</v>
      </c>
      <c r="AC56" t="s">
        <v>40</v>
      </c>
      <c r="AD56">
        <v>2</v>
      </c>
      <c r="AE56">
        <v>41</v>
      </c>
      <c r="AF56" t="s">
        <v>224</v>
      </c>
      <c r="AG56">
        <v>3.3</v>
      </c>
      <c r="AH56">
        <v>3.3</v>
      </c>
      <c r="AI56">
        <v>3.8</v>
      </c>
      <c r="AJ56">
        <v>3.3</v>
      </c>
      <c r="AK56">
        <v>3.4249999999999998</v>
      </c>
      <c r="AL56">
        <v>56</v>
      </c>
      <c r="AM56">
        <v>56</v>
      </c>
      <c r="AN56">
        <v>64</v>
      </c>
      <c r="AO56">
        <v>64</v>
      </c>
      <c r="AP56">
        <v>60</v>
      </c>
      <c r="AQ56">
        <v>4</v>
      </c>
      <c r="AR56">
        <v>71</v>
      </c>
      <c r="AS56">
        <v>70</v>
      </c>
      <c r="AT56">
        <v>2.4</v>
      </c>
      <c r="AU56">
        <v>16.2</v>
      </c>
      <c r="AV56">
        <v>16.399999999999999</v>
      </c>
      <c r="AW56">
        <v>10.5</v>
      </c>
      <c r="AX56">
        <v>0.18</v>
      </c>
      <c r="AY56">
        <v>5</v>
      </c>
      <c r="AZ56">
        <v>5</v>
      </c>
      <c r="BA56">
        <v>83</v>
      </c>
      <c r="BB56">
        <v>85</v>
      </c>
      <c r="BC56">
        <v>82</v>
      </c>
      <c r="BD56" s="2">
        <v>0.52638888888888891</v>
      </c>
      <c r="BE56">
        <v>59</v>
      </c>
      <c r="BF56" t="s">
        <v>42</v>
      </c>
      <c r="BG56" t="s">
        <v>285</v>
      </c>
      <c r="BH56">
        <v>11</v>
      </c>
      <c r="BI56" t="s">
        <v>43</v>
      </c>
      <c r="BJ56" t="s">
        <v>274</v>
      </c>
      <c r="BK56">
        <v>305</v>
      </c>
      <c r="BL56">
        <v>93</v>
      </c>
      <c r="BM56">
        <v>1</v>
      </c>
      <c r="BN56" t="s">
        <v>40</v>
      </c>
      <c r="BS56">
        <v>4.1000000000000002E-2</v>
      </c>
      <c r="BT56">
        <v>81</v>
      </c>
      <c r="BY56">
        <v>0.50760000000000005</v>
      </c>
      <c r="CA56">
        <v>0.25790000000000002</v>
      </c>
      <c r="CB56">
        <v>5.2</v>
      </c>
      <c r="CC56">
        <v>1.87</v>
      </c>
      <c r="CM56">
        <v>5.0000000000000001E-4</v>
      </c>
    </row>
    <row r="57" spans="1:105" x14ac:dyDescent="0.25">
      <c r="A57">
        <v>22</v>
      </c>
      <c r="B57" s="1">
        <v>44339</v>
      </c>
      <c r="C57" s="2">
        <v>0.17708333333333334</v>
      </c>
      <c r="D57">
        <v>2726</v>
      </c>
      <c r="E57" t="s">
        <v>219</v>
      </c>
      <c r="F57" t="s">
        <v>220</v>
      </c>
      <c r="G57">
        <v>2</v>
      </c>
      <c r="H57">
        <v>102</v>
      </c>
      <c r="I57">
        <v>4</v>
      </c>
      <c r="J57" t="s">
        <v>39</v>
      </c>
      <c r="K57">
        <v>22106</v>
      </c>
      <c r="L57" t="s">
        <v>269</v>
      </c>
      <c r="M57" t="s">
        <v>221</v>
      </c>
      <c r="N57" t="s">
        <v>222</v>
      </c>
      <c r="O57" t="s">
        <v>223</v>
      </c>
      <c r="Q57">
        <v>825</v>
      </c>
      <c r="R57">
        <v>150</v>
      </c>
      <c r="U57">
        <v>23.7</v>
      </c>
      <c r="V57">
        <v>7.9</v>
      </c>
      <c r="W57">
        <v>20</v>
      </c>
      <c r="Y57">
        <v>10</v>
      </c>
      <c r="AA57">
        <v>1036.5999999999999</v>
      </c>
      <c r="AB57">
        <v>0.57749303621169912</v>
      </c>
      <c r="AC57" t="s">
        <v>40</v>
      </c>
      <c r="AD57">
        <v>2</v>
      </c>
      <c r="AE57">
        <v>41</v>
      </c>
      <c r="AF57" t="s">
        <v>224</v>
      </c>
      <c r="AG57">
        <v>4.4000000000000004</v>
      </c>
      <c r="AH57">
        <v>3</v>
      </c>
      <c r="AI57">
        <v>3.8</v>
      </c>
      <c r="AJ57">
        <v>3.7</v>
      </c>
      <c r="AK57">
        <v>3.7249999999999996</v>
      </c>
      <c r="AL57">
        <v>50</v>
      </c>
      <c r="AM57">
        <v>44</v>
      </c>
      <c r="AN57">
        <v>52</v>
      </c>
      <c r="AO57">
        <v>60</v>
      </c>
      <c r="AP57">
        <v>51.5</v>
      </c>
      <c r="AQ57">
        <v>4</v>
      </c>
      <c r="AR57">
        <v>79</v>
      </c>
      <c r="AS57">
        <v>71</v>
      </c>
      <c r="AT57">
        <v>2.2999999999999998</v>
      </c>
      <c r="AU57">
        <v>15.6</v>
      </c>
      <c r="AV57">
        <v>15.7</v>
      </c>
      <c r="AW57">
        <v>10.6</v>
      </c>
      <c r="AX57">
        <v>0.1043</v>
      </c>
      <c r="AY57">
        <v>5</v>
      </c>
      <c r="AZ57">
        <v>5</v>
      </c>
      <c r="BA57">
        <v>83</v>
      </c>
      <c r="BB57">
        <v>85</v>
      </c>
      <c r="BC57">
        <v>82</v>
      </c>
      <c r="BD57" s="2">
        <v>0.40277777777777773</v>
      </c>
      <c r="BE57">
        <v>55</v>
      </c>
      <c r="BF57" t="s">
        <v>237</v>
      </c>
      <c r="BH57">
        <v>11</v>
      </c>
      <c r="BI57" t="s">
        <v>43</v>
      </c>
      <c r="BJ57" t="s">
        <v>238</v>
      </c>
      <c r="BK57">
        <v>305</v>
      </c>
      <c r="BL57">
        <v>91.9</v>
      </c>
      <c r="BM57">
        <v>0</v>
      </c>
      <c r="BN57" t="s">
        <v>40</v>
      </c>
      <c r="BS57">
        <v>4.1099999999999998E-2</v>
      </c>
      <c r="BT57">
        <v>86</v>
      </c>
      <c r="BY57">
        <v>0.45400000000000001</v>
      </c>
      <c r="CA57">
        <v>0.26119999999999999</v>
      </c>
      <c r="CB57">
        <v>5.2</v>
      </c>
      <c r="CC57">
        <v>1.85</v>
      </c>
      <c r="CM57">
        <v>2.3E-3</v>
      </c>
    </row>
    <row r="58" spans="1:105" x14ac:dyDescent="0.25">
      <c r="A58">
        <v>22</v>
      </c>
      <c r="B58" s="1">
        <v>44339</v>
      </c>
      <c r="C58" s="2">
        <v>4.5138888888888888E-2</v>
      </c>
      <c r="D58">
        <v>2726</v>
      </c>
      <c r="E58" t="s">
        <v>219</v>
      </c>
      <c r="F58" t="s">
        <v>220</v>
      </c>
      <c r="G58">
        <v>2</v>
      </c>
      <c r="H58">
        <v>83</v>
      </c>
      <c r="I58">
        <v>4</v>
      </c>
      <c r="J58" t="s">
        <v>39</v>
      </c>
      <c r="K58">
        <v>22106</v>
      </c>
      <c r="L58" t="s">
        <v>269</v>
      </c>
      <c r="M58" t="s">
        <v>221</v>
      </c>
      <c r="N58" t="s">
        <v>222</v>
      </c>
      <c r="O58" t="s">
        <v>223</v>
      </c>
      <c r="Q58">
        <v>825</v>
      </c>
      <c r="R58">
        <v>150</v>
      </c>
      <c r="U58">
        <v>23.7</v>
      </c>
      <c r="V58">
        <v>7.9</v>
      </c>
      <c r="W58">
        <v>20</v>
      </c>
      <c r="Y58">
        <v>10</v>
      </c>
      <c r="AA58">
        <v>1036.5999999999999</v>
      </c>
      <c r="AB58">
        <v>0.57749303621169912</v>
      </c>
      <c r="AC58" t="s">
        <v>40</v>
      </c>
      <c r="AD58">
        <v>2</v>
      </c>
      <c r="AE58">
        <v>41</v>
      </c>
      <c r="AF58" t="s">
        <v>224</v>
      </c>
      <c r="AG58">
        <v>4.7</v>
      </c>
      <c r="AH58">
        <v>3.3</v>
      </c>
      <c r="AI58">
        <v>4.0999999999999996</v>
      </c>
      <c r="AJ58">
        <v>4</v>
      </c>
      <c r="AK58">
        <v>4.0250000000000004</v>
      </c>
      <c r="AL58">
        <v>28</v>
      </c>
      <c r="AM58">
        <v>40</v>
      </c>
      <c r="AN58">
        <v>50</v>
      </c>
      <c r="AO58">
        <v>62</v>
      </c>
      <c r="AP58">
        <v>45</v>
      </c>
      <c r="AQ58">
        <v>4</v>
      </c>
      <c r="AR58">
        <v>80</v>
      </c>
      <c r="AS58">
        <v>70</v>
      </c>
      <c r="AT58">
        <v>2.2999999999999998</v>
      </c>
      <c r="AU58">
        <v>15.3</v>
      </c>
      <c r="AV58">
        <v>16.100000000000001</v>
      </c>
      <c r="AW58">
        <v>9.6999999999999993</v>
      </c>
      <c r="AX58">
        <v>0.11849999999999999</v>
      </c>
      <c r="AY58">
        <v>5</v>
      </c>
      <c r="AZ58">
        <v>5</v>
      </c>
      <c r="BA58">
        <v>83</v>
      </c>
      <c r="BB58">
        <v>85</v>
      </c>
      <c r="BC58">
        <v>82</v>
      </c>
      <c r="BD58" s="2">
        <v>0.41319444444444442</v>
      </c>
      <c r="BE58">
        <v>37</v>
      </c>
      <c r="BF58" t="s">
        <v>237</v>
      </c>
      <c r="BG58" t="s">
        <v>286</v>
      </c>
      <c r="BH58">
        <v>11</v>
      </c>
      <c r="BI58" t="s">
        <v>43</v>
      </c>
      <c r="BJ58" t="s">
        <v>238</v>
      </c>
      <c r="BK58">
        <v>304.89999999999998</v>
      </c>
      <c r="BL58">
        <v>92</v>
      </c>
      <c r="BM58">
        <v>0</v>
      </c>
      <c r="BN58" t="s">
        <v>40</v>
      </c>
      <c r="BP58">
        <v>0.1125</v>
      </c>
      <c r="BS58">
        <v>4.02E-2</v>
      </c>
      <c r="BT58">
        <v>86</v>
      </c>
      <c r="BY58">
        <v>0.43330000000000002</v>
      </c>
      <c r="CA58">
        <v>0.25850000000000001</v>
      </c>
      <c r="CB58">
        <v>5.26</v>
      </c>
      <c r="CC58">
        <v>1.85</v>
      </c>
      <c r="CM58">
        <v>2.8E-3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561144EC4870B4E9FAE8C855F5C3382" ma:contentTypeVersion="12" ma:contentTypeDescription="Crear nuevo documento." ma:contentTypeScope="" ma:versionID="fa1cee3be0b554dab3f32afcb0eeb832">
  <xsd:schema xmlns:xsd="http://www.w3.org/2001/XMLSchema" xmlns:xs="http://www.w3.org/2001/XMLSchema" xmlns:p="http://schemas.microsoft.com/office/2006/metadata/properties" xmlns:ns3="1ee73548-0c8f-4a4d-a281-daf888461236" xmlns:ns4="47aa7617-5879-40b9-8257-703cfdde3f9f" targetNamespace="http://schemas.microsoft.com/office/2006/metadata/properties" ma:root="true" ma:fieldsID="6e8725164e2be8350fe9393ecf9a8a71" ns3:_="" ns4:_="">
    <xsd:import namespace="1ee73548-0c8f-4a4d-a281-daf888461236"/>
    <xsd:import namespace="47aa7617-5879-40b9-8257-703cfdde3f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e73548-0c8f-4a4d-a281-daf8884612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aa7617-5879-40b9-8257-703cfdde3f9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08F8E3-C495-40A7-BB10-A274388224D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2FED384-8B8D-4CFF-B427-340C8B163C7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0762C5E-BB98-449B-A7B3-D8FAE2B3CB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e73548-0c8f-4a4d-a281-daf888461236"/>
    <ds:schemaRef ds:uri="47aa7617-5879-40b9-8257-703cfdde3f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2736703-F545-46F0-8E75-F9C3C2AF722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4</vt:i4>
      </vt:variant>
      <vt:variant>
        <vt:lpstr>Gráficos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Plantilla</vt:lpstr>
      <vt:lpstr>Hoja2</vt:lpstr>
      <vt:lpstr>Formulas 12 Octubre 2021</vt:lpstr>
      <vt:lpstr>Hoja1</vt:lpstr>
      <vt:lpstr>Gráfico2</vt:lpstr>
      <vt:lpstr>Gráfico1</vt:lpstr>
      <vt:lpstr>'Formulas 12 Octubre 2021'!Área_de_impresión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2024-01-31T16:53:57Z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0x0101006561144EC4870B4E9FAE8C855F5C3382</vt:lpwstr>
  </property>
</Properties>
</file>